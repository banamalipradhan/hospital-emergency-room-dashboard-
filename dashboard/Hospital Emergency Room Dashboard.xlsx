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431b944d5e12f8cb/Desktop/Portfolio/"/>
    </mc:Choice>
  </mc:AlternateContent>
  <xr:revisionPtr revIDLastSave="2574" documentId="8_{5BAAD9D1-A924-49D8-ACA3-A995A98AA574}" xr6:coauthVersionLast="47" xr6:coauthVersionMax="47" xr10:uidLastSave="{C66D63F9-FE15-4A0D-8FC0-0D85BE731B64}"/>
  <bookViews>
    <workbookView xWindow="-108" yWindow="-108" windowWidth="23256" windowHeight="12456" xr2:uid="{C93CF21E-8049-48AE-9CC7-F4F1AF94A148}"/>
  </bookViews>
  <sheets>
    <sheet name="Pivot Report" sheetId="1" r:id="rId1"/>
    <sheet name="Dashboard" sheetId="2" r:id="rId2"/>
    <sheet name="Daily ER Patients" sheetId="3" r:id="rId3"/>
    <sheet name="Daily Avg Wait Time" sheetId="4" r:id="rId4"/>
    <sheet name="Patient Satisfaction Score" sheetId="5" r:id="rId5"/>
  </sheets>
  <definedNames>
    <definedName name="Slicer_Date__Month">#N/A</definedName>
    <definedName name="Slicer_Date__Year">#N/A</definedName>
  </definedNames>
  <calcPr calcId="191029"/>
  <pivotCaches>
    <pivotCache cacheId="8" r:id="rId6"/>
    <pivotCache cacheId="9" r:id="rId7"/>
    <pivotCache cacheId="10" r:id="rId8"/>
    <pivotCache cacheId="11" r:id="rId9"/>
    <pivotCache cacheId="12" r:id="rId10"/>
    <pivotCache cacheId="13" r:id="rId11"/>
    <pivotCache cacheId="14" r:id="rId12"/>
    <pivotCache cacheId="15" r:id="rId13"/>
    <pivotCache cacheId="16" r:id="rId14"/>
    <pivotCache cacheId="17" r:id="rId15"/>
    <pivotCache cacheId="18" r:id="rId16"/>
    <pivotCache cacheId="19" r:id="rId17"/>
  </pivotCaches>
  <extLst>
    <ext xmlns:x14="http://schemas.microsoft.com/office/spreadsheetml/2009/9/main" uri="{876F7934-8845-4945-9796-88D515C7AA90}">
      <x14:pivotCaches>
        <pivotCache cacheId="2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b3cb982-1998-4f60-bfd2-d13ffb4efbd9" name="Hospital Emergency Room Data" connection="Query - Hospital Emergency Room Data"/>
          <x15:modelTable id="Calendar_Table_30cfc104-2e77-4c53-9f5f-354826b7702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 i="1" l="1"/>
  <c r="Q9" i="1"/>
  <c r="R9" i="1"/>
  <c r="Q10" i="1"/>
  <c r="R10" i="1"/>
  <c r="P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76005E-F65A-41CF-9A5A-4C460935E60B}" name="Query - Calendar_Table" description="Connection to the 'Calendar_Table' query in the workbook." type="100" refreshedVersion="8" minRefreshableVersion="5">
    <extLst>
      <ext xmlns:x15="http://schemas.microsoft.com/office/spreadsheetml/2010/11/main" uri="{DE250136-89BD-433C-8126-D09CA5730AF9}">
        <x15:connection id="34cc78f1-17fc-4965-98e7-f30c7c63fe2e"/>
      </ext>
    </extLst>
  </connection>
  <connection id="2" xr16:uid="{EB240118-AD32-4BDD-AB1B-535AFAE161F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6789d45-fd21-400f-9e3d-d97ff4deef15"/>
      </ext>
    </extLst>
  </connection>
  <connection id="3" xr16:uid="{AB9C6363-9B08-4B58-BE2F-3347E116E3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<sst xmlns="http://schemas.openxmlformats.org/spreadsheetml/2006/main" count="150" uniqueCount="70">
  <si>
    <t>Distinct Count of Patient Id</t>
  </si>
  <si>
    <t xml:space="preserve">No of Patients </t>
  </si>
  <si>
    <t>Average of Patient Waittime</t>
  </si>
  <si>
    <t>Average of Patient Satisfaction Score</t>
  </si>
  <si>
    <t>Row Labels</t>
  </si>
  <si>
    <t>Grand Total</t>
  </si>
  <si>
    <t>Average wait time</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</si>
  <si>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</si>
  <si>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</si>
  <si>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</si>
  <si>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</si>
  <si>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</si>
  <si>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</si>
  <si>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</si>
  <si>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</si>
  <si>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</si>
  <si>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</si>
  <si>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</si>
  <si>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</si>
  <si>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</si>
  <si>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</si>
  <si>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</si>
  <si>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</si>
  <si>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</si>
  <si>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</si>
  <si>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</si>
  <si>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</si>
  <si>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</si>
  <si>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</si>
  <si>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</si>
  <si>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</si>
  <si>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</si>
  <si>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</si>
  <si>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</si>
  <si>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</si>
  <si>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</si>
  <si>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</si>
  <si>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 xml:space="preserve"> Patients Satisfaction Score </t>
  </si>
  <si>
    <t>Admitted</t>
  </si>
  <si>
    <t>Not Admitted</t>
  </si>
  <si>
    <t>Count of Patient Admission Flag</t>
  </si>
  <si>
    <t>Count of Patient Admission Flag2</t>
  </si>
  <si>
    <t>Admission Status</t>
  </si>
  <si>
    <t>% Status</t>
  </si>
  <si>
    <t>Patient</t>
  </si>
  <si>
    <t>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</si>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</sst>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1" fontId="0" fillId="0" borderId="0" xfId="0" applyNumberFormat="1"/>
    <xf numFmtId="0" fontId="1" fillId="5" borderId="0" xfId="0" applyFont="1" applyFill="1" applyAlignment="1">
      <alignment horizontal="center"/>
    </xf>
    <xf numFmtId="0" fontId="0" fillId="4" borderId="0" xfId="0" applyFill="1" applyAlignment="1">
      <alignment horizontal="center"/>
    </xf>
    <xf numFmtId="9" fontId="0" fillId="4" borderId="0" xfId="0" applyNumberFormat="1" applyFill="1" applyAlignment="1">
      <alignment horizontal="center"/>
    </xf>
    <xf numFmtId="0" fontId="0" fillId="0" borderId="0" xfId="0" applyAlignment="1">
      <alignment horizontal="center"/>
    </xf>
  </cellXfs>
  <cellStyles count="1">
    <cellStyle name="Normal" xfId="0" builtinId="0"/>
  </cellStyles>
  <dxfs count="14">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1" formatCode="0"/>
    </dxf>
    <dxf>
      <font>
        <b/>
        <color theme="1"/>
      </font>
      <border>
        <bottom style="thin">
          <color theme="5"/>
        </bottom>
        <vertical/>
        <horizontal/>
      </border>
    </dxf>
    <dxf>
      <font>
        <b/>
        <i val="0"/>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New style" pivot="0" table="0" count="10" xr9:uid="{C9599BB0-1953-4EFB-AC29-34DCAE9387C0}">
      <tableStyleElement type="wholeTable" dxfId="13"/>
      <tableStyleElement type="headerRow" dxfId="12"/>
    </tableStyle>
  </tableStyles>
  <colors>
    <mruColors>
      <color rgb="FFFFFFFF"/>
      <color rgb="FFF4F6F8"/>
      <color rgb="FFFBFB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1.3833894135724552E-2"/>
          <c:y val="0"/>
          <c:w val="0.97917319722041141"/>
          <c:h val="1"/>
        </c:manualLayout>
      </c:layout>
      <c:barChart>
        <c:barDir val="bar"/>
        <c:grouping val="clustered"/>
        <c:varyColors val="0"/>
        <c:ser>
          <c:idx val="0"/>
          <c:order val="0"/>
          <c:tx>
            <c:strRef>
              <c:f>'Pivot Report'!$Q$3</c:f>
              <c:strCache>
                <c:ptCount val="1"/>
                <c:pt idx="0">
                  <c:v>Count of Patient Admission Flag</c:v>
                </c:pt>
              </c:strCache>
            </c:strRef>
          </c:tx>
          <c:spPr>
            <a:solidFill>
              <a:schemeClr val="accent1"/>
            </a:solidFill>
            <a:ln>
              <a:noFill/>
            </a:ln>
            <a:effectLst/>
          </c:spPr>
          <c:invertIfNegative val="0"/>
          <c:dLbls>
            <c:delete val="1"/>
          </c:dLbls>
          <c:cat>
            <c:strRef>
              <c:f>'Pivot Report'!$P$4:$P$6</c:f>
              <c:strCache>
                <c:ptCount val="2"/>
                <c:pt idx="0">
                  <c:v>Admitted</c:v>
                </c:pt>
                <c:pt idx="1">
                  <c:v>Not Admitted</c:v>
                </c:pt>
              </c:strCache>
            </c:strRef>
          </c:cat>
          <c:val>
            <c:numRef>
              <c:f>'Pivot Report'!$Q$4:$Q$6</c:f>
              <c:numCache>
                <c:formatCode>0</c:formatCode>
                <c:ptCount val="2"/>
                <c:pt idx="0">
                  <c:v>235</c:v>
                </c:pt>
                <c:pt idx="1">
                  <c:v>250</c:v>
                </c:pt>
              </c:numCache>
            </c:numRef>
          </c:val>
          <c:extLst>
            <c:ext xmlns:c16="http://schemas.microsoft.com/office/drawing/2014/chart" uri="{C3380CC4-5D6E-409C-BE32-E72D297353CC}">
              <c16:uniqueId val="{00000000-87C8-4348-9708-12BB3D823DA9}"/>
            </c:ext>
          </c:extLst>
        </c:ser>
        <c:ser>
          <c:idx val="1"/>
          <c:order val="1"/>
          <c:tx>
            <c:strRef>
              <c:f>'Pivot Report'!$R$3</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Report'!$P$4:$P$6</c:f>
              <c:strCache>
                <c:ptCount val="2"/>
                <c:pt idx="0">
                  <c:v>Admitted</c:v>
                </c:pt>
                <c:pt idx="1">
                  <c:v>Not Admitted</c:v>
                </c:pt>
              </c:strCache>
            </c:strRef>
          </c:cat>
          <c:val>
            <c:numRef>
              <c:f>'Pivot Report'!$R$4:$R$6</c:f>
              <c:numCache>
                <c:formatCode>0.00%</c:formatCode>
                <c:ptCount val="2"/>
                <c:pt idx="0">
                  <c:v>0.4845360824742268</c:v>
                </c:pt>
                <c:pt idx="1">
                  <c:v>0.51546391752577314</c:v>
                </c:pt>
              </c:numCache>
            </c:numRef>
          </c:val>
          <c:extLst>
            <c:ext xmlns:c16="http://schemas.microsoft.com/office/drawing/2014/chart" uri="{C3380CC4-5D6E-409C-BE32-E72D297353CC}">
              <c16:uniqueId val="{00000001-87C8-4348-9708-12BB3D823DA9}"/>
            </c:ext>
          </c:extLst>
        </c:ser>
        <c:dLbls>
          <c:dLblPos val="outEnd"/>
          <c:showLegendKey val="0"/>
          <c:showVal val="1"/>
          <c:showCatName val="0"/>
          <c:showSerName val="0"/>
          <c:showPercent val="0"/>
          <c:showBubbleSize val="0"/>
        </c:dLbls>
        <c:gapWidth val="30"/>
        <c:axId val="1224230271"/>
        <c:axId val="1224236511"/>
      </c:barChart>
      <c:catAx>
        <c:axId val="1224230271"/>
        <c:scaling>
          <c:orientation val="minMax"/>
        </c:scaling>
        <c:delete val="1"/>
        <c:axPos val="l"/>
        <c:numFmt formatCode="General" sourceLinked="1"/>
        <c:majorTickMark val="none"/>
        <c:minorTickMark val="none"/>
        <c:tickLblPos val="nextTo"/>
        <c:crossAx val="1224236511"/>
        <c:crosses val="autoZero"/>
        <c:auto val="1"/>
        <c:lblAlgn val="ctr"/>
        <c:lblOffset val="100"/>
        <c:noMultiLvlLbl val="0"/>
      </c:catAx>
      <c:valAx>
        <c:axId val="1224236511"/>
        <c:scaling>
          <c:orientation val="minMax"/>
        </c:scaling>
        <c:delete val="1"/>
        <c:axPos val="b"/>
        <c:numFmt formatCode="0" sourceLinked="1"/>
        <c:majorTickMark val="none"/>
        <c:minorTickMark val="none"/>
        <c:tickLblPos val="nextTo"/>
        <c:crossAx val="122423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4767577886706331"/>
          <c:w val="1"/>
          <c:h val="0.45232422113293663"/>
        </c:manualLayout>
      </c:layout>
      <c:areaChart>
        <c:grouping val="standard"/>
        <c:varyColors val="0"/>
        <c:ser>
          <c:idx val="0"/>
          <c:order val="0"/>
          <c:tx>
            <c:strRef>
              <c:f>'Pivot Report'!$E$5</c:f>
              <c:strCache>
                <c:ptCount val="1"/>
                <c:pt idx="0">
                  <c:v>Total</c:v>
                </c:pt>
              </c:strCache>
            </c:strRef>
          </c:tx>
          <c:spPr>
            <a:solidFill>
              <a:schemeClr val="accent1"/>
            </a:solidFill>
            <a:ln>
              <a:noFill/>
            </a:ln>
            <a:effectLst/>
          </c:spPr>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76B9-4582-8AE2-AED69034D9EE}"/>
            </c:ext>
          </c:extLst>
        </c:ser>
        <c:dLbls>
          <c:showLegendKey val="0"/>
          <c:showVal val="0"/>
          <c:showCatName val="0"/>
          <c:showSerName val="0"/>
          <c:showPercent val="0"/>
          <c:showBubbleSize val="0"/>
        </c:dLbls>
        <c:axId val="1892489583"/>
        <c:axId val="1892474703"/>
      </c:areaChart>
      <c:catAx>
        <c:axId val="1892489583"/>
        <c:scaling>
          <c:orientation val="minMax"/>
        </c:scaling>
        <c:delete val="1"/>
        <c:axPos val="b"/>
        <c:numFmt formatCode="General" sourceLinked="1"/>
        <c:majorTickMark val="out"/>
        <c:minorTickMark val="none"/>
        <c:tickLblPos val="nextTo"/>
        <c:crossAx val="1892474703"/>
        <c:crosses val="autoZero"/>
        <c:auto val="1"/>
        <c:lblAlgn val="ctr"/>
        <c:lblOffset val="100"/>
        <c:noMultiLvlLbl val="0"/>
      </c:catAx>
      <c:valAx>
        <c:axId val="1892474703"/>
        <c:scaling>
          <c:orientation val="minMax"/>
        </c:scaling>
        <c:delete val="1"/>
        <c:axPos val="l"/>
        <c:numFmt formatCode="General" sourceLinked="1"/>
        <c:majorTickMark val="none"/>
        <c:minorTickMark val="none"/>
        <c:tickLblPos val="nextTo"/>
        <c:crossAx val="189248958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0221941053631E-2"/>
          <c:y val="0.47197223531428084"/>
          <c:w val="0.92216610233739893"/>
          <c:h val="0.33695359698358968"/>
        </c:manualLayout>
      </c:layout>
      <c:areaChart>
        <c:grouping val="standard"/>
        <c:varyColors val="0"/>
        <c:ser>
          <c:idx val="0"/>
          <c:order val="0"/>
          <c:tx>
            <c:strRef>
              <c:f>'Pivot Report'!$I$4</c:f>
              <c:strCache>
                <c:ptCount val="1"/>
                <c:pt idx="0">
                  <c:v>Total</c:v>
                </c:pt>
              </c:strCache>
            </c:strRef>
          </c:tx>
          <c:spPr>
            <a:solidFill>
              <a:schemeClr val="accent1"/>
            </a:solidFill>
            <a:ln>
              <a:noFill/>
            </a:ln>
            <a:effectLst/>
          </c:spPr>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E2E7-4523-958A-3912A50914FC}"/>
            </c:ext>
          </c:extLst>
        </c:ser>
        <c:dLbls>
          <c:showLegendKey val="0"/>
          <c:showVal val="0"/>
          <c:showCatName val="0"/>
          <c:showSerName val="0"/>
          <c:showPercent val="0"/>
          <c:showBubbleSize val="0"/>
        </c:dLbls>
        <c:axId val="1093564239"/>
        <c:axId val="713748623"/>
      </c:areaChart>
      <c:catAx>
        <c:axId val="1093564239"/>
        <c:scaling>
          <c:orientation val="minMax"/>
        </c:scaling>
        <c:delete val="1"/>
        <c:axPos val="b"/>
        <c:numFmt formatCode="General" sourceLinked="1"/>
        <c:majorTickMark val="out"/>
        <c:minorTickMark val="none"/>
        <c:tickLblPos val="nextTo"/>
        <c:crossAx val="713748623"/>
        <c:crosses val="autoZero"/>
        <c:auto val="1"/>
        <c:lblAlgn val="ctr"/>
        <c:lblOffset val="100"/>
        <c:noMultiLvlLbl val="0"/>
      </c:catAx>
      <c:valAx>
        <c:axId val="713748623"/>
        <c:scaling>
          <c:orientation val="minMax"/>
        </c:scaling>
        <c:delete val="1"/>
        <c:axPos val="l"/>
        <c:numFmt formatCode="0.00" sourceLinked="1"/>
        <c:majorTickMark val="none"/>
        <c:minorTickMark val="none"/>
        <c:tickLblPos val="nextTo"/>
        <c:crossAx val="1093564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014473341877293"/>
          <c:w val="0.96602986971048044"/>
          <c:h val="0.54010522562802932"/>
        </c:manualLayout>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Report'!$M$5:$M$35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54C1-40EC-B0C7-052EAFBCA577}"/>
            </c:ext>
          </c:extLst>
        </c:ser>
        <c:dLbls>
          <c:showLegendKey val="0"/>
          <c:showVal val="0"/>
          <c:showCatName val="0"/>
          <c:showSerName val="0"/>
          <c:showPercent val="0"/>
          <c:showBubbleSize val="0"/>
        </c:dLbls>
        <c:axId val="1046087791"/>
        <c:axId val="1046095471"/>
      </c:areaChart>
      <c:catAx>
        <c:axId val="1046087791"/>
        <c:scaling>
          <c:orientation val="minMax"/>
        </c:scaling>
        <c:delete val="1"/>
        <c:axPos val="b"/>
        <c:numFmt formatCode="General" sourceLinked="1"/>
        <c:majorTickMark val="out"/>
        <c:minorTickMark val="none"/>
        <c:tickLblPos val="nextTo"/>
        <c:crossAx val="1046095471"/>
        <c:crosses val="autoZero"/>
        <c:auto val="1"/>
        <c:lblAlgn val="ctr"/>
        <c:lblOffset val="100"/>
        <c:noMultiLvlLbl val="0"/>
      </c:catAx>
      <c:valAx>
        <c:axId val="1046095471"/>
        <c:scaling>
          <c:orientation val="minMax"/>
        </c:scaling>
        <c:delete val="1"/>
        <c:axPos val="l"/>
        <c:numFmt formatCode="0.00" sourceLinked="1"/>
        <c:majorTickMark val="none"/>
        <c:minorTickMark val="none"/>
        <c:tickLblPos val="nextTo"/>
        <c:crossAx val="1046087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44522694206798E-2"/>
          <c:y val="0.14992230225709796"/>
          <c:w val="0.9173109546115864"/>
          <c:h val="0.53390154279385627"/>
        </c:manualLayout>
      </c:layout>
      <c:barChart>
        <c:barDir val="col"/>
        <c:grouping val="clustered"/>
        <c:varyColors val="0"/>
        <c:ser>
          <c:idx val="0"/>
          <c:order val="0"/>
          <c:tx>
            <c:strRef>
              <c:f>'Pivot Report'!$V$3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Report'!$U$4:$U$12</c:f>
              <c:strCache>
                <c:ptCount val="8"/>
                <c:pt idx="0">
                  <c:v>0-9</c:v>
                </c:pt>
                <c:pt idx="1">
                  <c:v>10-19</c:v>
                </c:pt>
                <c:pt idx="2">
                  <c:v>20-29</c:v>
                </c:pt>
                <c:pt idx="3">
                  <c:v>30-39</c:v>
                </c:pt>
                <c:pt idx="4">
                  <c:v>40-49</c:v>
                </c:pt>
                <c:pt idx="5">
                  <c:v>50-59</c:v>
                </c:pt>
                <c:pt idx="6">
                  <c:v>60-69</c:v>
                </c:pt>
                <c:pt idx="7">
                  <c:v>70-79</c:v>
                </c:pt>
              </c:strCache>
            </c:strRef>
          </c:cat>
          <c:val>
            <c:numRef>
              <c:f>'Pivot Report'!$V$4:$V$12</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A1B3-4A98-BEE6-B6393FD5606A}"/>
            </c:ext>
          </c:extLst>
        </c:ser>
        <c:dLbls>
          <c:dLblPos val="outEnd"/>
          <c:showLegendKey val="0"/>
          <c:showVal val="1"/>
          <c:showCatName val="0"/>
          <c:showSerName val="0"/>
          <c:showPercent val="0"/>
          <c:showBubbleSize val="0"/>
        </c:dLbls>
        <c:gapWidth val="219"/>
        <c:overlap val="-27"/>
        <c:axId val="1712683360"/>
        <c:axId val="1712680000"/>
      </c:barChart>
      <c:catAx>
        <c:axId val="17126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12680000"/>
        <c:crosses val="autoZero"/>
        <c:auto val="1"/>
        <c:lblAlgn val="ctr"/>
        <c:lblOffset val="100"/>
        <c:noMultiLvlLbl val="0"/>
      </c:catAx>
      <c:valAx>
        <c:axId val="1712680000"/>
        <c:scaling>
          <c:orientation val="minMax"/>
        </c:scaling>
        <c:delete val="1"/>
        <c:axPos val="l"/>
        <c:numFmt formatCode="0" sourceLinked="1"/>
        <c:majorTickMark val="none"/>
        <c:minorTickMark val="none"/>
        <c:tickLblPos val="nextTo"/>
        <c:crossAx val="17126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2083362314123772"/>
          <c:y val="0.17200179912713726"/>
          <c:w val="0.60869043135227219"/>
          <c:h val="0.73716770980015711"/>
        </c:manualLayout>
      </c:layout>
      <c:pieChart>
        <c:varyColors val="1"/>
        <c:ser>
          <c:idx val="0"/>
          <c:order val="0"/>
          <c:tx>
            <c:strRef>
              <c:f>'Pivot Report'!$Z$3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C0A-44D7-8142-F63E73808AFD}"/>
              </c:ext>
            </c:extLst>
          </c:dPt>
          <c:dPt>
            <c:idx val="1"/>
            <c:bubble3D val="0"/>
            <c:spPr>
              <a:solidFill>
                <a:schemeClr val="accent2"/>
              </a:solidFill>
              <a:ln>
                <a:noFill/>
              </a:ln>
              <a:effectLst/>
            </c:spPr>
            <c:extLst>
              <c:ext xmlns:c16="http://schemas.microsoft.com/office/drawing/2014/chart" uri="{C3380CC4-5D6E-409C-BE32-E72D297353CC}">
                <c16:uniqueId val="{00000003-CC0A-44D7-8142-F63E73808A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Report'!$Y$4:$Y$6</c:f>
              <c:strCache>
                <c:ptCount val="2"/>
                <c:pt idx="0">
                  <c:v>Delay</c:v>
                </c:pt>
                <c:pt idx="1">
                  <c:v>Ontime</c:v>
                </c:pt>
              </c:strCache>
            </c:strRef>
          </c:cat>
          <c:val>
            <c:numRef>
              <c:f>'Pivot Report'!$Z$4:$Z$6</c:f>
              <c:numCache>
                <c:formatCode>0</c:formatCode>
                <c:ptCount val="2"/>
                <c:pt idx="0">
                  <c:v>297</c:v>
                </c:pt>
                <c:pt idx="1">
                  <c:v>188</c:v>
                </c:pt>
              </c:numCache>
            </c:numRef>
          </c:val>
          <c:extLst>
            <c:ext xmlns:c16="http://schemas.microsoft.com/office/drawing/2014/chart" uri="{C3380CC4-5D6E-409C-BE32-E72D297353CC}">
              <c16:uniqueId val="{00000004-CC0A-44D7-8142-F63E73808AF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999960629869593"/>
          <c:y val="1.6831056875939693E-2"/>
          <c:w val="0.60000013123376805"/>
          <c:h val="0.13877118980791298"/>
        </c:manualLayout>
      </c:layout>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36"/>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43931813280008"/>
          <c:y val="0.16608386359080812"/>
          <c:w val="0.61895331467660042"/>
          <c:h val="0.75455401971819336"/>
        </c:manualLayout>
      </c:layout>
      <c:doughnutChart>
        <c:varyColors val="1"/>
        <c:ser>
          <c:idx val="0"/>
          <c:order val="0"/>
          <c:tx>
            <c:strRef>
              <c:f>'Pivot Report'!$AC$3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58F-4694-92A5-D8E2ECC20F29}"/>
              </c:ext>
            </c:extLst>
          </c:dPt>
          <c:dPt>
            <c:idx val="1"/>
            <c:bubble3D val="0"/>
            <c:spPr>
              <a:solidFill>
                <a:schemeClr val="accent2"/>
              </a:solidFill>
              <a:ln>
                <a:noFill/>
              </a:ln>
              <a:effectLst/>
            </c:spPr>
            <c:extLst>
              <c:ext xmlns:c16="http://schemas.microsoft.com/office/drawing/2014/chart" uri="{C3380CC4-5D6E-409C-BE32-E72D297353CC}">
                <c16:uniqueId val="{00000003-D58F-4694-92A5-D8E2ECC20F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Report'!$AB$4:$AB$6</c:f>
              <c:strCache>
                <c:ptCount val="2"/>
                <c:pt idx="0">
                  <c:v>Female</c:v>
                </c:pt>
                <c:pt idx="1">
                  <c:v>Male</c:v>
                </c:pt>
              </c:strCache>
            </c:strRef>
          </c:cat>
          <c:val>
            <c:numRef>
              <c:f>'Pivot Report'!$AC$4:$AC$6</c:f>
              <c:numCache>
                <c:formatCode>0</c:formatCode>
                <c:ptCount val="2"/>
                <c:pt idx="0">
                  <c:v>239</c:v>
                </c:pt>
                <c:pt idx="1">
                  <c:v>246</c:v>
                </c:pt>
              </c:numCache>
            </c:numRef>
          </c:val>
          <c:extLst>
            <c:ext xmlns:c16="http://schemas.microsoft.com/office/drawing/2014/chart" uri="{C3380CC4-5D6E-409C-BE32-E72D297353CC}">
              <c16:uniqueId val="{00000004-D58F-4694-92A5-D8E2ECC20F29}"/>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0.21574122094358483"/>
          <c:y val="1.7842716387101332E-2"/>
          <c:w val="0.55147321240847347"/>
          <c:h val="0.14454095093660671"/>
        </c:manualLayout>
      </c:layout>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17246306853825"/>
          <c:y val="0.10185185185185185"/>
          <c:w val="0.63697400313109032"/>
          <c:h val="0.77777777777777779"/>
        </c:manualLayout>
      </c:layout>
      <c:barChart>
        <c:barDir val="bar"/>
        <c:grouping val="clustered"/>
        <c:varyColors val="0"/>
        <c:ser>
          <c:idx val="0"/>
          <c:order val="0"/>
          <c:tx>
            <c:strRef>
              <c:f>'Pivot Report'!$AG$3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Report'!$AF$4:$AF$12</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Report'!$AG$4:$AG$12</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0B5C-4EFC-BCD4-822528B45550}"/>
            </c:ext>
          </c:extLst>
        </c:ser>
        <c:dLbls>
          <c:dLblPos val="outEnd"/>
          <c:showLegendKey val="0"/>
          <c:showVal val="1"/>
          <c:showCatName val="0"/>
          <c:showSerName val="0"/>
          <c:showPercent val="0"/>
          <c:showBubbleSize val="0"/>
        </c:dLbls>
        <c:gapWidth val="50"/>
        <c:axId val="1897596896"/>
        <c:axId val="1897599776"/>
      </c:barChart>
      <c:catAx>
        <c:axId val="189759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97599776"/>
        <c:crosses val="autoZero"/>
        <c:auto val="1"/>
        <c:lblAlgn val="ctr"/>
        <c:lblOffset val="100"/>
        <c:noMultiLvlLbl val="0"/>
      </c:catAx>
      <c:valAx>
        <c:axId val="1897599776"/>
        <c:scaling>
          <c:orientation val="minMax"/>
        </c:scaling>
        <c:delete val="1"/>
        <c:axPos val="b"/>
        <c:numFmt formatCode="0" sourceLinked="1"/>
        <c:majorTickMark val="none"/>
        <c:minorTickMark val="none"/>
        <c:tickLblPos val="nextTo"/>
        <c:crossAx val="189759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72061875627468E-2"/>
          <c:y val="9.4627781399936495E-2"/>
          <c:w val="0.93230181025828041"/>
          <c:h val="0.73905940897515199"/>
        </c:manualLayout>
      </c:layout>
      <c:barChart>
        <c:barDir val="col"/>
        <c:grouping val="clustered"/>
        <c:varyColors val="0"/>
        <c:ser>
          <c:idx val="0"/>
          <c:order val="0"/>
          <c:tx>
            <c:strRef>
              <c:f>'Pivot Report'!$E$5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Report'!$D$6:$D$36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Report'!$E$6:$E$36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905B-4867-A071-45B53068F70F}"/>
            </c:ext>
          </c:extLst>
        </c:ser>
        <c:dLbls>
          <c:showLegendKey val="0"/>
          <c:showVal val="1"/>
          <c:showCatName val="0"/>
          <c:showSerName val="0"/>
          <c:showPercent val="0"/>
          <c:showBubbleSize val="0"/>
        </c:dLbls>
        <c:gapWidth val="100"/>
        <c:overlap val="-24"/>
        <c:axId val="1892489583"/>
        <c:axId val="1892474703"/>
      </c:barChart>
      <c:catAx>
        <c:axId val="189248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474703"/>
        <c:crosses val="autoZero"/>
        <c:auto val="1"/>
        <c:lblAlgn val="ctr"/>
        <c:lblOffset val="100"/>
        <c:noMultiLvlLbl val="0"/>
      </c:catAx>
      <c:valAx>
        <c:axId val="1892474703"/>
        <c:scaling>
          <c:orientation val="minMax"/>
        </c:scaling>
        <c:delete val="1"/>
        <c:axPos val="l"/>
        <c:numFmt formatCode="General" sourceLinked="1"/>
        <c:majorTickMark val="none"/>
        <c:minorTickMark val="none"/>
        <c:tickLblPos val="nextTo"/>
        <c:crossAx val="18924895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Report!PivotTable2</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29227470412949E-2"/>
          <c:y val="9.4502492177767697E-2"/>
          <c:w val="0.92001253133363314"/>
          <c:h val="0.74076926487851436"/>
        </c:manualLayout>
      </c:layout>
      <c:barChart>
        <c:barDir val="col"/>
        <c:grouping val="clustered"/>
        <c:varyColors val="0"/>
        <c:ser>
          <c:idx val="0"/>
          <c:order val="0"/>
          <c:tx>
            <c:strRef>
              <c:f>'Pivot Report'!$I$4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D2FA-4983-87D4-42496E77F834}"/>
            </c:ext>
          </c:extLst>
        </c:ser>
        <c:dLbls>
          <c:dLblPos val="outEnd"/>
          <c:showLegendKey val="0"/>
          <c:showVal val="1"/>
          <c:showCatName val="0"/>
          <c:showSerName val="0"/>
          <c:showPercent val="0"/>
          <c:showBubbleSize val="0"/>
        </c:dLbls>
        <c:gapWidth val="100"/>
        <c:overlap val="-24"/>
        <c:axId val="1093564239"/>
        <c:axId val="713748623"/>
      </c:barChart>
      <c:catAx>
        <c:axId val="1093564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748623"/>
        <c:crosses val="autoZero"/>
        <c:auto val="1"/>
        <c:lblAlgn val="ctr"/>
        <c:lblOffset val="100"/>
        <c:noMultiLvlLbl val="0"/>
      </c:catAx>
      <c:valAx>
        <c:axId val="713748623"/>
        <c:scaling>
          <c:orientation val="minMax"/>
        </c:scaling>
        <c:delete val="1"/>
        <c:axPos val="l"/>
        <c:numFmt formatCode="0.00" sourceLinked="1"/>
        <c:majorTickMark val="none"/>
        <c:minorTickMark val="none"/>
        <c:tickLblPos val="nextTo"/>
        <c:crossAx val="10935642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32098765432098E-2"/>
          <c:y val="9.0572091950044703E-2"/>
          <c:w val="0.96699437092932827"/>
          <c:h val="0.72020300347071997"/>
        </c:manualLayout>
      </c:layout>
      <c:barChart>
        <c:barDir val="col"/>
        <c:grouping val="clustered"/>
        <c:varyColors val="0"/>
        <c:ser>
          <c:idx val="0"/>
          <c:order val="0"/>
          <c:tx>
            <c:strRef>
              <c:f>'Pivot Report'!$M$4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Report'!$L$5:$L$35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Report'!$M$5:$M$35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B696-4FC9-853A-9EC24E611D7B}"/>
            </c:ext>
          </c:extLst>
        </c:ser>
        <c:dLbls>
          <c:showLegendKey val="0"/>
          <c:showVal val="1"/>
          <c:showCatName val="0"/>
          <c:showSerName val="0"/>
          <c:showPercent val="0"/>
          <c:showBubbleSize val="0"/>
        </c:dLbls>
        <c:gapWidth val="100"/>
        <c:overlap val="-24"/>
        <c:axId val="1046087791"/>
        <c:axId val="1046095471"/>
      </c:barChart>
      <c:catAx>
        <c:axId val="1046087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095471"/>
        <c:crosses val="autoZero"/>
        <c:auto val="1"/>
        <c:lblAlgn val="ctr"/>
        <c:lblOffset val="100"/>
        <c:noMultiLvlLbl val="0"/>
      </c:catAx>
      <c:valAx>
        <c:axId val="1046095471"/>
        <c:scaling>
          <c:orientation val="minMax"/>
        </c:scaling>
        <c:delete val="1"/>
        <c:axPos val="l"/>
        <c:numFmt formatCode="0.00" sourceLinked="1"/>
        <c:majorTickMark val="none"/>
        <c:minorTickMark val="none"/>
        <c:tickLblPos val="nextTo"/>
        <c:crossAx val="1046087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17</xdr:col>
      <xdr:colOff>873370</xdr:colOff>
      <xdr:row>7</xdr:row>
      <xdr:rowOff>169984</xdr:rowOff>
    </xdr:from>
    <xdr:to>
      <xdr:col>19</xdr:col>
      <xdr:colOff>11724</xdr:colOff>
      <xdr:row>10</xdr:row>
      <xdr:rowOff>11723</xdr:rowOff>
    </xdr:to>
    <xdr:graphicFrame macro="">
      <xdr:nvGraphicFramePr>
        <xdr:cNvPr id="27" name="Chart 3">
          <a:extLst>
            <a:ext uri="{FF2B5EF4-FFF2-40B4-BE49-F238E27FC236}">
              <a16:creationId xmlns:a16="http://schemas.microsoft.com/office/drawing/2014/main" id="{769667EB-DC03-413A-0B18-45A78DFB0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65314</xdr:rowOff>
    </xdr:from>
    <xdr:to>
      <xdr:col>5</xdr:col>
      <xdr:colOff>26126</xdr:colOff>
      <xdr:row>2</xdr:row>
      <xdr:rowOff>174172</xdr:rowOff>
    </xdr:to>
    <xdr:sp macro="" textlink="">
      <xdr:nvSpPr>
        <xdr:cNvPr id="2" name="Rectangle: Rounded Corners 1">
          <a:extLst>
            <a:ext uri="{FF2B5EF4-FFF2-40B4-BE49-F238E27FC236}">
              <a16:creationId xmlns:a16="http://schemas.microsoft.com/office/drawing/2014/main" id="{3CFD4303-5478-DD23-9712-3360133CACEB}"/>
            </a:ext>
          </a:extLst>
        </xdr:cNvPr>
        <xdr:cNvSpPr/>
      </xdr:nvSpPr>
      <xdr:spPr>
        <a:xfrm>
          <a:off x="56606" y="65314"/>
          <a:ext cx="3017520" cy="474618"/>
        </a:xfrm>
        <a:prstGeom prst="roundRect">
          <a:avLst>
            <a:gd name="adj" fmla="val 16667"/>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174171</xdr:colOff>
      <xdr:row>0</xdr:row>
      <xdr:rowOff>65315</xdr:rowOff>
    </xdr:from>
    <xdr:to>
      <xdr:col>6</xdr:col>
      <xdr:colOff>435429</xdr:colOff>
      <xdr:row>3</xdr:row>
      <xdr:rowOff>1</xdr:rowOff>
    </xdr:to>
    <xdr:sp macro="" textlink="">
      <xdr:nvSpPr>
        <xdr:cNvPr id="4" name="Rectangle: Rounded Corners 3">
          <a:extLst>
            <a:ext uri="{FF2B5EF4-FFF2-40B4-BE49-F238E27FC236}">
              <a16:creationId xmlns:a16="http://schemas.microsoft.com/office/drawing/2014/main" id="{452BFE0F-926E-2B61-3306-3DD72FED2D34}"/>
            </a:ext>
          </a:extLst>
        </xdr:cNvPr>
        <xdr:cNvSpPr/>
      </xdr:nvSpPr>
      <xdr:spPr>
        <a:xfrm>
          <a:off x="3222171" y="65315"/>
          <a:ext cx="870858" cy="483326"/>
        </a:xfrm>
        <a:prstGeom prst="roundRect">
          <a:avLst>
            <a:gd name="adj" fmla="val 5856"/>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483325</xdr:colOff>
      <xdr:row>0</xdr:row>
      <xdr:rowOff>74022</xdr:rowOff>
    </xdr:from>
    <xdr:to>
      <xdr:col>9</xdr:col>
      <xdr:colOff>117566</xdr:colOff>
      <xdr:row>7</xdr:row>
      <xdr:rowOff>74024</xdr:rowOff>
    </xdr:to>
    <xdr:sp macro="" textlink="">
      <xdr:nvSpPr>
        <xdr:cNvPr id="7" name="Rectangle: Rounded Corners 6">
          <a:extLst>
            <a:ext uri="{FF2B5EF4-FFF2-40B4-BE49-F238E27FC236}">
              <a16:creationId xmlns:a16="http://schemas.microsoft.com/office/drawing/2014/main" id="{876722F1-6DEA-AEA6-17A3-1C0A92C97662}"/>
            </a:ext>
          </a:extLst>
        </xdr:cNvPr>
        <xdr:cNvSpPr/>
      </xdr:nvSpPr>
      <xdr:spPr>
        <a:xfrm>
          <a:off x="4140925" y="74022"/>
          <a:ext cx="1463041" cy="1280162"/>
        </a:xfrm>
        <a:prstGeom prst="roundRect">
          <a:avLst>
            <a:gd name="adj" fmla="val 619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169816</xdr:colOff>
      <xdr:row>0</xdr:row>
      <xdr:rowOff>78377</xdr:rowOff>
    </xdr:from>
    <xdr:to>
      <xdr:col>11</xdr:col>
      <xdr:colOff>412216</xdr:colOff>
      <xdr:row>7</xdr:row>
      <xdr:rowOff>79817</xdr:rowOff>
    </xdr:to>
    <xdr:sp macro="" textlink="">
      <xdr:nvSpPr>
        <xdr:cNvPr id="8" name="Rectangle: Rounded Corners 7">
          <a:extLst>
            <a:ext uri="{FF2B5EF4-FFF2-40B4-BE49-F238E27FC236}">
              <a16:creationId xmlns:a16="http://schemas.microsoft.com/office/drawing/2014/main" id="{A29C8B8F-DAA4-5232-0866-C695507D2CCC}"/>
            </a:ext>
          </a:extLst>
        </xdr:cNvPr>
        <xdr:cNvSpPr/>
      </xdr:nvSpPr>
      <xdr:spPr>
        <a:xfrm>
          <a:off x="5656216" y="78377"/>
          <a:ext cx="1461600" cy="1281600"/>
        </a:xfrm>
        <a:prstGeom prst="roundRect">
          <a:avLst>
            <a:gd name="adj" fmla="val 619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65316</xdr:colOff>
      <xdr:row>3</xdr:row>
      <xdr:rowOff>26125</xdr:rowOff>
    </xdr:from>
    <xdr:to>
      <xdr:col>1</xdr:col>
      <xdr:colOff>87086</xdr:colOff>
      <xdr:row>15</xdr:row>
      <xdr:rowOff>13062</xdr:rowOff>
    </xdr:to>
    <xdr:sp macro="" textlink="">
      <xdr:nvSpPr>
        <xdr:cNvPr id="9" name="Rectangle: Rounded Corners 8">
          <a:extLst>
            <a:ext uri="{FF2B5EF4-FFF2-40B4-BE49-F238E27FC236}">
              <a16:creationId xmlns:a16="http://schemas.microsoft.com/office/drawing/2014/main" id="{A4BDFBB2-55D1-92C7-C2C9-1FD689FD1A0A}"/>
            </a:ext>
          </a:extLst>
        </xdr:cNvPr>
        <xdr:cNvSpPr/>
      </xdr:nvSpPr>
      <xdr:spPr>
        <a:xfrm>
          <a:off x="65316" y="574765"/>
          <a:ext cx="631370" cy="2181497"/>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60959</xdr:colOff>
      <xdr:row>0</xdr:row>
      <xdr:rowOff>65314</xdr:rowOff>
    </xdr:from>
    <xdr:to>
      <xdr:col>5</xdr:col>
      <xdr:colOff>143690</xdr:colOff>
      <xdr:row>2</xdr:row>
      <xdr:rowOff>174172</xdr:rowOff>
    </xdr:to>
    <xdr:sp macro="" textlink="">
      <xdr:nvSpPr>
        <xdr:cNvPr id="10" name="Rectangle: Rounded Corners 9">
          <a:extLst>
            <a:ext uri="{FF2B5EF4-FFF2-40B4-BE49-F238E27FC236}">
              <a16:creationId xmlns:a16="http://schemas.microsoft.com/office/drawing/2014/main" id="{72297637-5862-BFA9-D71E-C619F94E77B5}"/>
            </a:ext>
          </a:extLst>
        </xdr:cNvPr>
        <xdr:cNvSpPr/>
      </xdr:nvSpPr>
      <xdr:spPr>
        <a:xfrm>
          <a:off x="60959" y="65314"/>
          <a:ext cx="3130731" cy="474618"/>
        </a:xfrm>
        <a:prstGeom prst="roundRect">
          <a:avLst>
            <a:gd name="adj" fmla="val 749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152401</xdr:colOff>
      <xdr:row>3</xdr:row>
      <xdr:rowOff>52253</xdr:rowOff>
    </xdr:from>
    <xdr:to>
      <xdr:col>3</xdr:col>
      <xdr:colOff>8709</xdr:colOff>
      <xdr:row>6</xdr:row>
      <xdr:rowOff>87086</xdr:rowOff>
    </xdr:to>
    <xdr:sp macro="" textlink="">
      <xdr:nvSpPr>
        <xdr:cNvPr id="11" name="Rectangle: Rounded Corners 10">
          <a:extLst>
            <a:ext uri="{FF2B5EF4-FFF2-40B4-BE49-F238E27FC236}">
              <a16:creationId xmlns:a16="http://schemas.microsoft.com/office/drawing/2014/main" id="{747F83F4-3BA0-C635-5A44-3041737AA81C}"/>
            </a:ext>
          </a:extLst>
        </xdr:cNvPr>
        <xdr:cNvSpPr/>
      </xdr:nvSpPr>
      <xdr:spPr>
        <a:xfrm>
          <a:off x="762001" y="600893"/>
          <a:ext cx="1075508" cy="583473"/>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56607</xdr:colOff>
      <xdr:row>3</xdr:row>
      <xdr:rowOff>52252</xdr:rowOff>
    </xdr:from>
    <xdr:to>
      <xdr:col>4</xdr:col>
      <xdr:colOff>513806</xdr:colOff>
      <xdr:row>6</xdr:row>
      <xdr:rowOff>95794</xdr:rowOff>
    </xdr:to>
    <xdr:sp macro="" textlink="">
      <xdr:nvSpPr>
        <xdr:cNvPr id="12" name="Rectangle: Rounded Corners 11">
          <a:extLst>
            <a:ext uri="{FF2B5EF4-FFF2-40B4-BE49-F238E27FC236}">
              <a16:creationId xmlns:a16="http://schemas.microsoft.com/office/drawing/2014/main" id="{0169BC9E-FE75-AA89-587B-1B9C5AB433E3}"/>
            </a:ext>
          </a:extLst>
        </xdr:cNvPr>
        <xdr:cNvSpPr/>
      </xdr:nvSpPr>
      <xdr:spPr>
        <a:xfrm>
          <a:off x="1885407" y="600892"/>
          <a:ext cx="1066799" cy="592182"/>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570411</xdr:colOff>
      <xdr:row>3</xdr:row>
      <xdr:rowOff>52251</xdr:rowOff>
    </xdr:from>
    <xdr:to>
      <xdr:col>6</xdr:col>
      <xdr:colOff>444136</xdr:colOff>
      <xdr:row>6</xdr:row>
      <xdr:rowOff>87086</xdr:rowOff>
    </xdr:to>
    <xdr:sp macro="" textlink="">
      <xdr:nvSpPr>
        <xdr:cNvPr id="13" name="Rectangle: Rounded Corners 12">
          <a:extLst>
            <a:ext uri="{FF2B5EF4-FFF2-40B4-BE49-F238E27FC236}">
              <a16:creationId xmlns:a16="http://schemas.microsoft.com/office/drawing/2014/main" id="{DAA21368-30F8-DF46-47CC-743756FBD92C}"/>
            </a:ext>
          </a:extLst>
        </xdr:cNvPr>
        <xdr:cNvSpPr/>
      </xdr:nvSpPr>
      <xdr:spPr>
        <a:xfrm>
          <a:off x="3008811" y="600891"/>
          <a:ext cx="1092925" cy="583475"/>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139337</xdr:colOff>
      <xdr:row>9</xdr:row>
      <xdr:rowOff>130627</xdr:rowOff>
    </xdr:from>
    <xdr:to>
      <xdr:col>6</xdr:col>
      <xdr:colOff>444137</xdr:colOff>
      <xdr:row>15</xdr:row>
      <xdr:rowOff>8708</xdr:rowOff>
    </xdr:to>
    <xdr:sp macro="" textlink="">
      <xdr:nvSpPr>
        <xdr:cNvPr id="15" name="Rectangle: Rounded Corners 14">
          <a:extLst>
            <a:ext uri="{FF2B5EF4-FFF2-40B4-BE49-F238E27FC236}">
              <a16:creationId xmlns:a16="http://schemas.microsoft.com/office/drawing/2014/main" id="{AE5004F0-A814-40DD-F86C-C9623562D1CA}"/>
            </a:ext>
          </a:extLst>
        </xdr:cNvPr>
        <xdr:cNvSpPr/>
      </xdr:nvSpPr>
      <xdr:spPr>
        <a:xfrm>
          <a:off x="748937" y="1776547"/>
          <a:ext cx="3352800" cy="975361"/>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139337</xdr:colOff>
      <xdr:row>6</xdr:row>
      <xdr:rowOff>130630</xdr:rowOff>
    </xdr:from>
    <xdr:to>
      <xdr:col>6</xdr:col>
      <xdr:colOff>444137</xdr:colOff>
      <xdr:row>9</xdr:row>
      <xdr:rowOff>91442</xdr:rowOff>
    </xdr:to>
    <xdr:sp macro="" textlink="">
      <xdr:nvSpPr>
        <xdr:cNvPr id="16" name="Rectangle: Rounded Corners 15">
          <a:extLst>
            <a:ext uri="{FF2B5EF4-FFF2-40B4-BE49-F238E27FC236}">
              <a16:creationId xmlns:a16="http://schemas.microsoft.com/office/drawing/2014/main" id="{41E9F9E5-A23E-F66B-062C-57AEFC56F7AE}"/>
            </a:ext>
          </a:extLst>
        </xdr:cNvPr>
        <xdr:cNvSpPr/>
      </xdr:nvSpPr>
      <xdr:spPr>
        <a:xfrm>
          <a:off x="748937" y="1227910"/>
          <a:ext cx="3352800" cy="509452"/>
        </a:xfrm>
        <a:prstGeom prst="roundRect">
          <a:avLst>
            <a:gd name="adj" fmla="val 5699"/>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470263</xdr:colOff>
      <xdr:row>7</xdr:row>
      <xdr:rowOff>113211</xdr:rowOff>
    </xdr:from>
    <xdr:to>
      <xdr:col>11</xdr:col>
      <xdr:colOff>426720</xdr:colOff>
      <xdr:row>15</xdr:row>
      <xdr:rowOff>4354</xdr:rowOff>
    </xdr:to>
    <xdr:sp macro="" textlink="">
      <xdr:nvSpPr>
        <xdr:cNvPr id="17" name="Rectangle: Rounded Corners 16">
          <a:extLst>
            <a:ext uri="{FF2B5EF4-FFF2-40B4-BE49-F238E27FC236}">
              <a16:creationId xmlns:a16="http://schemas.microsoft.com/office/drawing/2014/main" id="{41AF6490-9690-A450-7F63-DB20CEF90067}"/>
            </a:ext>
          </a:extLst>
        </xdr:cNvPr>
        <xdr:cNvSpPr/>
      </xdr:nvSpPr>
      <xdr:spPr>
        <a:xfrm>
          <a:off x="4127863" y="1393371"/>
          <a:ext cx="3004457" cy="1354183"/>
        </a:xfrm>
        <a:prstGeom prst="roundRect">
          <a:avLst>
            <a:gd name="adj" fmla="val 6191"/>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21772</xdr:colOff>
      <xdr:row>15</xdr:row>
      <xdr:rowOff>17418</xdr:rowOff>
    </xdr:from>
    <xdr:to>
      <xdr:col>11</xdr:col>
      <xdr:colOff>552994</xdr:colOff>
      <xdr:row>15</xdr:row>
      <xdr:rowOff>21772</xdr:rowOff>
    </xdr:to>
    <xdr:cxnSp macro="">
      <xdr:nvCxnSpPr>
        <xdr:cNvPr id="19" name="Straight Connector 18">
          <a:extLst>
            <a:ext uri="{FF2B5EF4-FFF2-40B4-BE49-F238E27FC236}">
              <a16:creationId xmlns:a16="http://schemas.microsoft.com/office/drawing/2014/main" id="{C84CCA35-527A-36EE-224C-AC7AD94C0E28}"/>
            </a:ext>
          </a:extLst>
        </xdr:cNvPr>
        <xdr:cNvCxnSpPr/>
      </xdr:nvCxnSpPr>
      <xdr:spPr>
        <a:xfrm flipV="1">
          <a:off x="21772" y="2760618"/>
          <a:ext cx="7236822" cy="43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448492</xdr:colOff>
      <xdr:row>0</xdr:row>
      <xdr:rowOff>60959</xdr:rowOff>
    </xdr:from>
    <xdr:to>
      <xdr:col>6</xdr:col>
      <xdr:colOff>452846</xdr:colOff>
      <xdr:row>15</xdr:row>
      <xdr:rowOff>4354</xdr:rowOff>
    </xdr:to>
    <xdr:cxnSp macro="">
      <xdr:nvCxnSpPr>
        <xdr:cNvPr id="21" name="Straight Connector 20">
          <a:extLst>
            <a:ext uri="{FF2B5EF4-FFF2-40B4-BE49-F238E27FC236}">
              <a16:creationId xmlns:a16="http://schemas.microsoft.com/office/drawing/2014/main" id="{55D0FF6F-B25C-0F8A-E02E-E89EAE801B63}"/>
            </a:ext>
          </a:extLst>
        </xdr:cNvPr>
        <xdr:cNvCxnSpPr/>
      </xdr:nvCxnSpPr>
      <xdr:spPr>
        <a:xfrm>
          <a:off x="4106092" y="60959"/>
          <a:ext cx="4354" cy="26865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426720</xdr:colOff>
      <xdr:row>0</xdr:row>
      <xdr:rowOff>17417</xdr:rowOff>
    </xdr:from>
    <xdr:to>
      <xdr:col>11</xdr:col>
      <xdr:colOff>439783</xdr:colOff>
      <xdr:row>15</xdr:row>
      <xdr:rowOff>4354</xdr:rowOff>
    </xdr:to>
    <xdr:cxnSp macro="">
      <xdr:nvCxnSpPr>
        <xdr:cNvPr id="23" name="Straight Connector 22">
          <a:extLst>
            <a:ext uri="{FF2B5EF4-FFF2-40B4-BE49-F238E27FC236}">
              <a16:creationId xmlns:a16="http://schemas.microsoft.com/office/drawing/2014/main" id="{8787379C-D505-C669-56E6-898851F455D8}"/>
            </a:ext>
          </a:extLst>
        </xdr:cNvPr>
        <xdr:cNvCxnSpPr/>
      </xdr:nvCxnSpPr>
      <xdr:spPr>
        <a:xfrm>
          <a:off x="7132320" y="17417"/>
          <a:ext cx="13063" cy="27301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74023</xdr:colOff>
      <xdr:row>0</xdr:row>
      <xdr:rowOff>30480</xdr:rowOff>
    </xdr:from>
    <xdr:to>
      <xdr:col>11</xdr:col>
      <xdr:colOff>496388</xdr:colOff>
      <xdr:row>0</xdr:row>
      <xdr:rowOff>60960</xdr:rowOff>
    </xdr:to>
    <xdr:cxnSp macro="">
      <xdr:nvCxnSpPr>
        <xdr:cNvPr id="25" name="Straight Connector 24">
          <a:extLst>
            <a:ext uri="{FF2B5EF4-FFF2-40B4-BE49-F238E27FC236}">
              <a16:creationId xmlns:a16="http://schemas.microsoft.com/office/drawing/2014/main" id="{B4B08B72-DAB0-EE6E-CE0F-E4CBBF0F02ED}"/>
            </a:ext>
          </a:extLst>
        </xdr:cNvPr>
        <xdr:cNvCxnSpPr/>
      </xdr:nvCxnSpPr>
      <xdr:spPr>
        <a:xfrm>
          <a:off x="74023" y="30480"/>
          <a:ext cx="7127965" cy="304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34835</xdr:colOff>
      <xdr:row>0</xdr:row>
      <xdr:rowOff>43543</xdr:rowOff>
    </xdr:from>
    <xdr:to>
      <xdr:col>0</xdr:col>
      <xdr:colOff>39189</xdr:colOff>
      <xdr:row>15</xdr:row>
      <xdr:rowOff>8709</xdr:rowOff>
    </xdr:to>
    <xdr:cxnSp macro="">
      <xdr:nvCxnSpPr>
        <xdr:cNvPr id="27" name="Straight Connector 26">
          <a:extLst>
            <a:ext uri="{FF2B5EF4-FFF2-40B4-BE49-F238E27FC236}">
              <a16:creationId xmlns:a16="http://schemas.microsoft.com/office/drawing/2014/main" id="{76638E6A-6D2F-C68D-4570-B19124611F82}"/>
            </a:ext>
          </a:extLst>
        </xdr:cNvPr>
        <xdr:cNvCxnSpPr/>
      </xdr:nvCxnSpPr>
      <xdr:spPr>
        <a:xfrm flipH="1">
          <a:off x="34835" y="43543"/>
          <a:ext cx="4354" cy="27083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43544</xdr:colOff>
      <xdr:row>0</xdr:row>
      <xdr:rowOff>100148</xdr:rowOff>
    </xdr:from>
    <xdr:to>
      <xdr:col>5</xdr:col>
      <xdr:colOff>56607</xdr:colOff>
      <xdr:row>2</xdr:row>
      <xdr:rowOff>8708</xdr:rowOff>
    </xdr:to>
    <xdr:sp macro="" textlink="">
      <xdr:nvSpPr>
        <xdr:cNvPr id="28" name="TextBox 27">
          <a:extLst>
            <a:ext uri="{FF2B5EF4-FFF2-40B4-BE49-F238E27FC236}">
              <a16:creationId xmlns:a16="http://schemas.microsoft.com/office/drawing/2014/main" id="{B37E7933-7D3C-1946-253A-5F046A6ECF16}"/>
            </a:ext>
          </a:extLst>
        </xdr:cNvPr>
        <xdr:cNvSpPr txBox="1"/>
      </xdr:nvSpPr>
      <xdr:spPr>
        <a:xfrm>
          <a:off x="653144" y="100148"/>
          <a:ext cx="245146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 Emegency Room Dashboard </a:t>
          </a:r>
        </a:p>
      </xdr:txBody>
    </xdr:sp>
    <xdr:clientData/>
  </xdr:twoCellAnchor>
  <xdr:twoCellAnchor editAs="oneCell">
    <xdr:from>
      <xdr:col>0</xdr:col>
      <xdr:colOff>108858</xdr:colOff>
      <xdr:row>0</xdr:row>
      <xdr:rowOff>74023</xdr:rowOff>
    </xdr:from>
    <xdr:to>
      <xdr:col>1</xdr:col>
      <xdr:colOff>0</xdr:colOff>
      <xdr:row>2</xdr:row>
      <xdr:rowOff>167277</xdr:rowOff>
    </xdr:to>
    <xdr:pic>
      <xdr:nvPicPr>
        <xdr:cNvPr id="32" name="Picture 31">
          <a:extLst>
            <a:ext uri="{FF2B5EF4-FFF2-40B4-BE49-F238E27FC236}">
              <a16:creationId xmlns:a16="http://schemas.microsoft.com/office/drawing/2014/main" id="{BFD7D2DB-65DC-4288-0F16-C609C51E08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8" y="74023"/>
          <a:ext cx="500742" cy="459014"/>
        </a:xfrm>
        <a:prstGeom prst="rect">
          <a:avLst/>
        </a:prstGeom>
      </xdr:spPr>
    </xdr:pic>
    <xdr:clientData/>
  </xdr:twoCellAnchor>
  <xdr:twoCellAnchor editAs="absolute">
    <xdr:from>
      <xdr:col>2</xdr:col>
      <xdr:colOff>65315</xdr:colOff>
      <xdr:row>1</xdr:row>
      <xdr:rowOff>100148</xdr:rowOff>
    </xdr:from>
    <xdr:to>
      <xdr:col>3</xdr:col>
      <xdr:colOff>470262</xdr:colOff>
      <xdr:row>3</xdr:row>
      <xdr:rowOff>8708</xdr:rowOff>
    </xdr:to>
    <xdr:sp macro="" textlink="">
      <xdr:nvSpPr>
        <xdr:cNvPr id="33" name="TextBox 32">
          <a:extLst>
            <a:ext uri="{FF2B5EF4-FFF2-40B4-BE49-F238E27FC236}">
              <a16:creationId xmlns:a16="http://schemas.microsoft.com/office/drawing/2014/main" id="{AD013A36-9D4A-9DC7-79AF-DC332870041A}"/>
            </a:ext>
          </a:extLst>
        </xdr:cNvPr>
        <xdr:cNvSpPr txBox="1"/>
      </xdr:nvSpPr>
      <xdr:spPr>
        <a:xfrm>
          <a:off x="1284515" y="283028"/>
          <a:ext cx="101454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Monthly Report</a:t>
          </a:r>
        </a:p>
      </xdr:txBody>
    </xdr:sp>
    <xdr:clientData/>
  </xdr:twoCellAnchor>
  <xdr:twoCellAnchor editAs="absolute">
    <xdr:from>
      <xdr:col>1</xdr:col>
      <xdr:colOff>34835</xdr:colOff>
      <xdr:row>4</xdr:row>
      <xdr:rowOff>4354</xdr:rowOff>
    </xdr:from>
    <xdr:to>
      <xdr:col>3</xdr:col>
      <xdr:colOff>148046</xdr:colOff>
      <xdr:row>5</xdr:row>
      <xdr:rowOff>182879</xdr:rowOff>
    </xdr:to>
    <xdr:sp macro="" textlink="">
      <xdr:nvSpPr>
        <xdr:cNvPr id="34" name="TextBox 33">
          <a:extLst>
            <a:ext uri="{FF2B5EF4-FFF2-40B4-BE49-F238E27FC236}">
              <a16:creationId xmlns:a16="http://schemas.microsoft.com/office/drawing/2014/main" id="{10EB90A5-4F44-1B69-40E3-3AAA2A550C45}"/>
            </a:ext>
          </a:extLst>
        </xdr:cNvPr>
        <xdr:cNvSpPr txBox="1"/>
      </xdr:nvSpPr>
      <xdr:spPr>
        <a:xfrm>
          <a:off x="644435" y="735874"/>
          <a:ext cx="1332411" cy="361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t>No. of Patients</a:t>
          </a:r>
        </a:p>
      </xdr:txBody>
    </xdr:sp>
    <xdr:clientData/>
  </xdr:twoCellAnchor>
  <xdr:twoCellAnchor editAs="absolute">
    <xdr:from>
      <xdr:col>1</xdr:col>
      <xdr:colOff>156753</xdr:colOff>
      <xdr:row>3</xdr:row>
      <xdr:rowOff>74023</xdr:rowOff>
    </xdr:from>
    <xdr:to>
      <xdr:col>3</xdr:col>
      <xdr:colOff>8708</xdr:colOff>
      <xdr:row>4</xdr:row>
      <xdr:rowOff>117566</xdr:rowOff>
    </xdr:to>
    <xdr:sp macro="" textlink="'Pivot Report'!B6">
      <xdr:nvSpPr>
        <xdr:cNvPr id="35" name="TextBox 34">
          <a:extLst>
            <a:ext uri="{FF2B5EF4-FFF2-40B4-BE49-F238E27FC236}">
              <a16:creationId xmlns:a16="http://schemas.microsoft.com/office/drawing/2014/main" id="{12E3839B-F3A5-AF41-0FF0-75340D7EA645}"/>
            </a:ext>
          </a:extLst>
        </xdr:cNvPr>
        <xdr:cNvSpPr txBox="1"/>
      </xdr:nvSpPr>
      <xdr:spPr>
        <a:xfrm>
          <a:off x="766353" y="622663"/>
          <a:ext cx="1071155"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60AB47-8302-48E2-BA55-EEFB3865CDE5}" type="TxLink">
            <a:rPr lang="en-US" sz="1100" b="0" i="0" u="none" strike="noStrike">
              <a:ln>
                <a:noFill/>
              </a:ln>
              <a:solidFill>
                <a:schemeClr val="tx1"/>
              </a:solidFill>
              <a:latin typeface="Calibri"/>
              <a:ea typeface="Calibri"/>
              <a:cs typeface="Calibri"/>
            </a:rPr>
            <a:pPr algn="ctr"/>
            <a:t>485</a:t>
          </a:fld>
          <a:endParaRPr lang="en-IN" sz="1000" b="1">
            <a:ln>
              <a:noFill/>
            </a:ln>
            <a:solidFill>
              <a:schemeClr val="tx1"/>
            </a:solidFill>
          </a:endParaRPr>
        </a:p>
      </xdr:txBody>
    </xdr:sp>
    <xdr:clientData/>
  </xdr:twoCellAnchor>
  <xdr:twoCellAnchor editAs="absolute">
    <xdr:from>
      <xdr:col>3</xdr:col>
      <xdr:colOff>69667</xdr:colOff>
      <xdr:row>4</xdr:row>
      <xdr:rowOff>34834</xdr:rowOff>
    </xdr:from>
    <xdr:to>
      <xdr:col>4</xdr:col>
      <xdr:colOff>513806</xdr:colOff>
      <xdr:row>5</xdr:row>
      <xdr:rowOff>148045</xdr:rowOff>
    </xdr:to>
    <xdr:sp macro="" textlink="">
      <xdr:nvSpPr>
        <xdr:cNvPr id="40" name="TextBox 39">
          <a:extLst>
            <a:ext uri="{FF2B5EF4-FFF2-40B4-BE49-F238E27FC236}">
              <a16:creationId xmlns:a16="http://schemas.microsoft.com/office/drawing/2014/main" id="{DB718B5E-C211-444E-B6EB-14D7FA53CD7C}"/>
            </a:ext>
          </a:extLst>
        </xdr:cNvPr>
        <xdr:cNvSpPr txBox="1"/>
      </xdr:nvSpPr>
      <xdr:spPr>
        <a:xfrm>
          <a:off x="1898467" y="766354"/>
          <a:ext cx="1053739" cy="296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t>Average Wait Time(Mins)</a:t>
          </a:r>
        </a:p>
      </xdr:txBody>
    </xdr:sp>
    <xdr:clientData/>
  </xdr:twoCellAnchor>
  <xdr:twoCellAnchor editAs="absolute">
    <xdr:from>
      <xdr:col>3</xdr:col>
      <xdr:colOff>56604</xdr:colOff>
      <xdr:row>3</xdr:row>
      <xdr:rowOff>78377</xdr:rowOff>
    </xdr:from>
    <xdr:to>
      <xdr:col>4</xdr:col>
      <xdr:colOff>518159</xdr:colOff>
      <xdr:row>4</xdr:row>
      <xdr:rowOff>121920</xdr:rowOff>
    </xdr:to>
    <xdr:sp macro="" textlink="'Pivot Report'!B10">
      <xdr:nvSpPr>
        <xdr:cNvPr id="41" name="TextBox 40">
          <a:extLst>
            <a:ext uri="{FF2B5EF4-FFF2-40B4-BE49-F238E27FC236}">
              <a16:creationId xmlns:a16="http://schemas.microsoft.com/office/drawing/2014/main" id="{8DB604AC-A0DA-40CF-A06E-9E5CE21408B9}"/>
            </a:ext>
          </a:extLst>
        </xdr:cNvPr>
        <xdr:cNvSpPr txBox="1"/>
      </xdr:nvSpPr>
      <xdr:spPr>
        <a:xfrm>
          <a:off x="1885404" y="627017"/>
          <a:ext cx="1071155"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7A3A5D6-EC92-41FC-9A0F-00C700FCB73C}" type="TxLink">
            <a:rPr lang="en-US" sz="1100" b="0" i="0" u="none" strike="noStrike">
              <a:solidFill>
                <a:srgbClr val="000000"/>
              </a:solidFill>
              <a:latin typeface="Calibri"/>
              <a:ea typeface="Calibri"/>
              <a:cs typeface="Calibri"/>
            </a:rPr>
            <a:pPr algn="ctr"/>
            <a:t>35.51</a:t>
          </a:fld>
          <a:endParaRPr lang="en-IN" sz="1000" b="1"/>
        </a:p>
      </xdr:txBody>
    </xdr:sp>
    <xdr:clientData/>
  </xdr:twoCellAnchor>
  <xdr:twoCellAnchor editAs="absolute">
    <xdr:from>
      <xdr:col>4</xdr:col>
      <xdr:colOff>579119</xdr:colOff>
      <xdr:row>4</xdr:row>
      <xdr:rowOff>56606</xdr:rowOff>
    </xdr:from>
    <xdr:to>
      <xdr:col>6</xdr:col>
      <xdr:colOff>439782</xdr:colOff>
      <xdr:row>5</xdr:row>
      <xdr:rowOff>121920</xdr:rowOff>
    </xdr:to>
    <xdr:sp macro="" textlink="">
      <xdr:nvSpPr>
        <xdr:cNvPr id="42" name="TextBox 41">
          <a:extLst>
            <a:ext uri="{FF2B5EF4-FFF2-40B4-BE49-F238E27FC236}">
              <a16:creationId xmlns:a16="http://schemas.microsoft.com/office/drawing/2014/main" id="{FD9A82D7-6FA3-4CC5-982A-41424F319805}"/>
            </a:ext>
          </a:extLst>
        </xdr:cNvPr>
        <xdr:cNvSpPr txBox="1"/>
      </xdr:nvSpPr>
      <xdr:spPr>
        <a:xfrm>
          <a:off x="3017519" y="788126"/>
          <a:ext cx="1079863"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t>Patient Satisfaction Score </a:t>
          </a:r>
        </a:p>
      </xdr:txBody>
    </xdr:sp>
    <xdr:clientData/>
  </xdr:twoCellAnchor>
  <xdr:twoCellAnchor editAs="absolute">
    <xdr:from>
      <xdr:col>4</xdr:col>
      <xdr:colOff>579118</xdr:colOff>
      <xdr:row>3</xdr:row>
      <xdr:rowOff>74023</xdr:rowOff>
    </xdr:from>
    <xdr:to>
      <xdr:col>6</xdr:col>
      <xdr:colOff>431073</xdr:colOff>
      <xdr:row>4</xdr:row>
      <xdr:rowOff>117566</xdr:rowOff>
    </xdr:to>
    <xdr:sp macro="" textlink="'Pivot Report'!B14">
      <xdr:nvSpPr>
        <xdr:cNvPr id="43" name="TextBox 42">
          <a:extLst>
            <a:ext uri="{FF2B5EF4-FFF2-40B4-BE49-F238E27FC236}">
              <a16:creationId xmlns:a16="http://schemas.microsoft.com/office/drawing/2014/main" id="{563678D4-9580-4DD1-BC21-A472EF077097}"/>
            </a:ext>
          </a:extLst>
        </xdr:cNvPr>
        <xdr:cNvSpPr txBox="1"/>
      </xdr:nvSpPr>
      <xdr:spPr>
        <a:xfrm>
          <a:off x="3017518" y="622663"/>
          <a:ext cx="1071155"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6E595C-3D13-42F2-8DBF-E61B3881E4D5}" type="TxLink">
            <a:rPr lang="en-US" sz="1100" b="0" i="0" u="none" strike="noStrike">
              <a:solidFill>
                <a:srgbClr val="000000"/>
              </a:solidFill>
              <a:latin typeface="Calibri"/>
              <a:ea typeface="Calibri"/>
              <a:cs typeface="Calibri"/>
            </a:rPr>
            <a:pPr algn="ctr"/>
            <a:t>4.71</a:t>
          </a:fld>
          <a:endParaRPr lang="en-IN" sz="1000" b="1"/>
        </a:p>
      </xdr:txBody>
    </xdr:sp>
    <xdr:clientData/>
  </xdr:twoCellAnchor>
  <xdr:twoCellAnchor editAs="oneCell">
    <xdr:from>
      <xdr:col>6</xdr:col>
      <xdr:colOff>213362</xdr:colOff>
      <xdr:row>3</xdr:row>
      <xdr:rowOff>61406</xdr:rowOff>
    </xdr:from>
    <xdr:to>
      <xdr:col>6</xdr:col>
      <xdr:colOff>454634</xdr:colOff>
      <xdr:row>4</xdr:row>
      <xdr:rowOff>100149</xdr:rowOff>
    </xdr:to>
    <xdr:pic>
      <xdr:nvPicPr>
        <xdr:cNvPr id="47" name="Graphic 46" descr="Bullseye with solid fill">
          <a:extLst>
            <a:ext uri="{FF2B5EF4-FFF2-40B4-BE49-F238E27FC236}">
              <a16:creationId xmlns:a16="http://schemas.microsoft.com/office/drawing/2014/main" id="{519440C2-E9CB-3BE8-C99C-ACF00A26AB7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70962" y="610046"/>
          <a:ext cx="241272" cy="221623"/>
        </a:xfrm>
        <a:prstGeom prst="rect">
          <a:avLst/>
        </a:prstGeom>
      </xdr:spPr>
    </xdr:pic>
    <xdr:clientData/>
  </xdr:twoCellAnchor>
  <xdr:twoCellAnchor editAs="oneCell">
    <xdr:from>
      <xdr:col>4</xdr:col>
      <xdr:colOff>311109</xdr:colOff>
      <xdr:row>3</xdr:row>
      <xdr:rowOff>80775</xdr:rowOff>
    </xdr:from>
    <xdr:to>
      <xdr:col>4</xdr:col>
      <xdr:colOff>517073</xdr:colOff>
      <xdr:row>4</xdr:row>
      <xdr:rowOff>87085</xdr:rowOff>
    </xdr:to>
    <xdr:pic>
      <xdr:nvPicPr>
        <xdr:cNvPr id="49" name="Graphic 48" descr="Hourglass Finished with solid fill">
          <a:extLst>
            <a:ext uri="{FF2B5EF4-FFF2-40B4-BE49-F238E27FC236}">
              <a16:creationId xmlns:a16="http://schemas.microsoft.com/office/drawing/2014/main" id="{7478B592-376C-7600-3FFA-52D0177CB16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49509" y="629415"/>
          <a:ext cx="205964" cy="189190"/>
        </a:xfrm>
        <a:prstGeom prst="rect">
          <a:avLst/>
        </a:prstGeom>
      </xdr:spPr>
    </xdr:pic>
    <xdr:clientData/>
  </xdr:twoCellAnchor>
  <xdr:twoCellAnchor editAs="oneCell">
    <xdr:from>
      <xdr:col>2</xdr:col>
      <xdr:colOff>374022</xdr:colOff>
      <xdr:row>3</xdr:row>
      <xdr:rowOff>74022</xdr:rowOff>
    </xdr:from>
    <xdr:to>
      <xdr:col>2</xdr:col>
      <xdr:colOff>601561</xdr:colOff>
      <xdr:row>4</xdr:row>
      <xdr:rowOff>100150</xdr:rowOff>
    </xdr:to>
    <xdr:pic>
      <xdr:nvPicPr>
        <xdr:cNvPr id="51" name="Graphic 50" descr="Male profile with solid fill">
          <a:extLst>
            <a:ext uri="{FF2B5EF4-FFF2-40B4-BE49-F238E27FC236}">
              <a16:creationId xmlns:a16="http://schemas.microsoft.com/office/drawing/2014/main" id="{C7586275-7AA8-A6D7-9DD5-DD517226D4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93222" y="622662"/>
          <a:ext cx="227539" cy="209008"/>
        </a:xfrm>
        <a:prstGeom prst="rect">
          <a:avLst/>
        </a:prstGeom>
      </xdr:spPr>
    </xdr:pic>
    <xdr:clientData/>
  </xdr:twoCellAnchor>
  <xdr:twoCellAnchor editAs="oneCell">
    <xdr:from>
      <xdr:col>0</xdr:col>
      <xdr:colOff>95794</xdr:colOff>
      <xdr:row>3</xdr:row>
      <xdr:rowOff>69670</xdr:rowOff>
    </xdr:from>
    <xdr:to>
      <xdr:col>1</xdr:col>
      <xdr:colOff>52251</xdr:colOff>
      <xdr:row>14</xdr:row>
      <xdr:rowOff>174172</xdr:rowOff>
    </xdr:to>
    <mc:AlternateContent xmlns:mc="http://schemas.openxmlformats.org/markup-compatibility/2006" xmlns:a14="http://schemas.microsoft.com/office/drawing/2010/main">
      <mc:Choice Requires="a14">
        <xdr:graphicFrame macro="">
          <xdr:nvGraphicFramePr>
            <xdr:cNvPr id="52" name="Date (Month)">
              <a:extLst>
                <a:ext uri="{FF2B5EF4-FFF2-40B4-BE49-F238E27FC236}">
                  <a16:creationId xmlns:a16="http://schemas.microsoft.com/office/drawing/2014/main" id="{FD17CB06-C418-416C-8834-EB36493D888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5794" y="618310"/>
              <a:ext cx="566057" cy="2116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148046</xdr:colOff>
      <xdr:row>3</xdr:row>
      <xdr:rowOff>104504</xdr:rowOff>
    </xdr:from>
    <xdr:to>
      <xdr:col>3</xdr:col>
      <xdr:colOff>8709</xdr:colOff>
      <xdr:row>6</xdr:row>
      <xdr:rowOff>113212</xdr:rowOff>
    </xdr:to>
    <xdr:graphicFrame macro="">
      <xdr:nvGraphicFramePr>
        <xdr:cNvPr id="54" name="Chart 53">
          <a:hlinkClick xmlns:r="http://schemas.openxmlformats.org/officeDocument/2006/relationships" r:id="rId8"/>
          <a:extLst>
            <a:ext uri="{FF2B5EF4-FFF2-40B4-BE49-F238E27FC236}">
              <a16:creationId xmlns:a16="http://schemas.microsoft.com/office/drawing/2014/main" id="{3ED0EFC5-8560-4E65-A0BD-E7E855783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579121</xdr:colOff>
      <xdr:row>3</xdr:row>
      <xdr:rowOff>174171</xdr:rowOff>
    </xdr:from>
    <xdr:to>
      <xdr:col>4</xdr:col>
      <xdr:colOff>531223</xdr:colOff>
      <xdr:row>7</xdr:row>
      <xdr:rowOff>26126</xdr:rowOff>
    </xdr:to>
    <xdr:graphicFrame macro="">
      <xdr:nvGraphicFramePr>
        <xdr:cNvPr id="3" name="Chart 2">
          <a:hlinkClick xmlns:r="http://schemas.openxmlformats.org/officeDocument/2006/relationships" r:id="rId10"/>
          <a:extLst>
            <a:ext uri="{FF2B5EF4-FFF2-40B4-BE49-F238E27FC236}">
              <a16:creationId xmlns:a16="http://schemas.microsoft.com/office/drawing/2014/main" id="{A173F8FB-606B-458A-B009-6A8319917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566057</xdr:colOff>
      <xdr:row>3</xdr:row>
      <xdr:rowOff>152402</xdr:rowOff>
    </xdr:from>
    <xdr:to>
      <xdr:col>6</xdr:col>
      <xdr:colOff>483326</xdr:colOff>
      <xdr:row>7</xdr:row>
      <xdr:rowOff>43544</xdr:rowOff>
    </xdr:to>
    <xdr:graphicFrame macro="">
      <xdr:nvGraphicFramePr>
        <xdr:cNvPr id="14" name="Chart 13">
          <a:hlinkClick xmlns:r="http://schemas.openxmlformats.org/officeDocument/2006/relationships" r:id="rId12"/>
          <a:extLst>
            <a:ext uri="{FF2B5EF4-FFF2-40B4-BE49-F238E27FC236}">
              <a16:creationId xmlns:a16="http://schemas.microsoft.com/office/drawing/2014/main" id="{BECB21D9-281F-4962-8A6B-D297F90F5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130629</xdr:colOff>
          <xdr:row>6</xdr:row>
          <xdr:rowOff>117566</xdr:rowOff>
        </xdr:from>
        <xdr:to>
          <xdr:col>6</xdr:col>
          <xdr:colOff>448491</xdr:colOff>
          <xdr:row>9</xdr:row>
          <xdr:rowOff>91439</xdr:rowOff>
        </xdr:to>
        <xdr:pic>
          <xdr:nvPicPr>
            <xdr:cNvPr id="6" name="Picture 5">
              <a:extLst>
                <a:ext uri="{FF2B5EF4-FFF2-40B4-BE49-F238E27FC236}">
                  <a16:creationId xmlns:a16="http://schemas.microsoft.com/office/drawing/2014/main" id="{A19D63FF-00BE-F946-AD11-DD07EC3D7D36}"/>
                </a:ext>
              </a:extLst>
            </xdr:cNvPr>
            <xdr:cNvPicPr>
              <a:picLocks noChangeAspect="1" noChangeArrowheads="1"/>
              <a:extLst>
                <a:ext uri="{84589F7E-364E-4C9E-8A38-B11213B215E9}">
                  <a14:cameraTool cellRange="'Pivot Report'!$P$8:$S$10" spid="_x0000_s2090"/>
                </a:ext>
              </a:extLst>
            </xdr:cNvPicPr>
          </xdr:nvPicPr>
          <xdr:blipFill>
            <a:blip xmlns:r="http://schemas.openxmlformats.org/officeDocument/2006/relationships" r:embed="rId14"/>
            <a:srcRect/>
            <a:stretch>
              <a:fillRect/>
            </a:stretch>
          </xdr:blipFill>
          <xdr:spPr bwMode="auto">
            <a:xfrm>
              <a:off x="740229" y="1214846"/>
              <a:ext cx="3365862" cy="5225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108858</xdr:colOff>
      <xdr:row>9</xdr:row>
      <xdr:rowOff>87087</xdr:rowOff>
    </xdr:from>
    <xdr:to>
      <xdr:col>6</xdr:col>
      <xdr:colOff>439782</xdr:colOff>
      <xdr:row>14</xdr:row>
      <xdr:rowOff>104503</xdr:rowOff>
    </xdr:to>
    <xdr:graphicFrame macro="">
      <xdr:nvGraphicFramePr>
        <xdr:cNvPr id="18" name="Chart 17">
          <a:extLst>
            <a:ext uri="{FF2B5EF4-FFF2-40B4-BE49-F238E27FC236}">
              <a16:creationId xmlns:a16="http://schemas.microsoft.com/office/drawing/2014/main" id="{54C5CCC9-63A1-47CE-B908-3508C96B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561703</xdr:colOff>
      <xdr:row>13</xdr:row>
      <xdr:rowOff>104503</xdr:rowOff>
    </xdr:from>
    <xdr:to>
      <xdr:col>5</xdr:col>
      <xdr:colOff>65314</xdr:colOff>
      <xdr:row>15</xdr:row>
      <xdr:rowOff>100148</xdr:rowOff>
    </xdr:to>
    <xdr:sp macro="" textlink="">
      <xdr:nvSpPr>
        <xdr:cNvPr id="20" name="TextBox 19">
          <a:extLst>
            <a:ext uri="{FF2B5EF4-FFF2-40B4-BE49-F238E27FC236}">
              <a16:creationId xmlns:a16="http://schemas.microsoft.com/office/drawing/2014/main" id="{218B9E21-DF92-4E61-891A-A16CC62AE290}"/>
            </a:ext>
          </a:extLst>
        </xdr:cNvPr>
        <xdr:cNvSpPr txBox="1"/>
      </xdr:nvSpPr>
      <xdr:spPr>
        <a:xfrm>
          <a:off x="1780903" y="2481943"/>
          <a:ext cx="1332411" cy="361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solidFill>
                <a:schemeClr val="tx1"/>
              </a:solidFill>
            </a:rPr>
            <a:t>No. of Patients by Age Group</a:t>
          </a:r>
        </a:p>
      </xdr:txBody>
    </xdr:sp>
    <xdr:clientData/>
  </xdr:twoCellAnchor>
  <xdr:twoCellAnchor>
    <xdr:from>
      <xdr:col>6</xdr:col>
      <xdr:colOff>465911</xdr:colOff>
      <xdr:row>0</xdr:row>
      <xdr:rowOff>60960</xdr:rowOff>
    </xdr:from>
    <xdr:to>
      <xdr:col>9</xdr:col>
      <xdr:colOff>161109</xdr:colOff>
      <xdr:row>7</xdr:row>
      <xdr:rowOff>39188</xdr:rowOff>
    </xdr:to>
    <xdr:graphicFrame macro="">
      <xdr:nvGraphicFramePr>
        <xdr:cNvPr id="22" name="Chart 21">
          <a:extLst>
            <a:ext uri="{FF2B5EF4-FFF2-40B4-BE49-F238E27FC236}">
              <a16:creationId xmlns:a16="http://schemas.microsoft.com/office/drawing/2014/main" id="{562344CF-D328-414D-A2E5-1170B13DE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69669</xdr:colOff>
      <xdr:row>6</xdr:row>
      <xdr:rowOff>26125</xdr:rowOff>
    </xdr:from>
    <xdr:to>
      <xdr:col>9</xdr:col>
      <xdr:colOff>52252</xdr:colOff>
      <xdr:row>7</xdr:row>
      <xdr:rowOff>152399</xdr:rowOff>
    </xdr:to>
    <xdr:sp macro="" textlink="">
      <xdr:nvSpPr>
        <xdr:cNvPr id="24" name="TextBox 23">
          <a:extLst>
            <a:ext uri="{FF2B5EF4-FFF2-40B4-BE49-F238E27FC236}">
              <a16:creationId xmlns:a16="http://schemas.microsoft.com/office/drawing/2014/main" id="{89ED6C15-5F95-6F00-53A8-A46FA5016BEC}"/>
            </a:ext>
          </a:extLst>
        </xdr:cNvPr>
        <xdr:cNvSpPr txBox="1"/>
      </xdr:nvSpPr>
      <xdr:spPr>
        <a:xfrm>
          <a:off x="4336869" y="1123405"/>
          <a:ext cx="1201783" cy="30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solidFill>
                <a:schemeClr val="tx1"/>
              </a:solidFill>
            </a:rPr>
            <a:t>Patient</a:t>
          </a:r>
          <a:r>
            <a:rPr lang="en-IN" sz="800" b="0" baseline="0">
              <a:solidFill>
                <a:schemeClr val="tx1"/>
              </a:solidFill>
            </a:rPr>
            <a:t> Attended Status </a:t>
          </a:r>
          <a:endParaRPr lang="en-IN" sz="800" b="0">
            <a:solidFill>
              <a:schemeClr val="tx1"/>
            </a:solidFill>
          </a:endParaRPr>
        </a:p>
      </xdr:txBody>
    </xdr:sp>
    <xdr:clientData/>
  </xdr:twoCellAnchor>
  <xdr:twoCellAnchor>
    <xdr:from>
      <xdr:col>9</xdr:col>
      <xdr:colOff>52252</xdr:colOff>
      <xdr:row>0</xdr:row>
      <xdr:rowOff>82731</xdr:rowOff>
    </xdr:from>
    <xdr:to>
      <xdr:col>11</xdr:col>
      <xdr:colOff>335280</xdr:colOff>
      <xdr:row>7</xdr:row>
      <xdr:rowOff>34834</xdr:rowOff>
    </xdr:to>
    <xdr:graphicFrame macro="">
      <xdr:nvGraphicFramePr>
        <xdr:cNvPr id="26" name="Chart 25">
          <a:extLst>
            <a:ext uri="{FF2B5EF4-FFF2-40B4-BE49-F238E27FC236}">
              <a16:creationId xmlns:a16="http://schemas.microsoft.com/office/drawing/2014/main" id="{B3439452-675D-4FF1-80F3-F17998BE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291738</xdr:colOff>
      <xdr:row>6</xdr:row>
      <xdr:rowOff>34833</xdr:rowOff>
    </xdr:from>
    <xdr:to>
      <xdr:col>11</xdr:col>
      <xdr:colOff>274321</xdr:colOff>
      <xdr:row>7</xdr:row>
      <xdr:rowOff>161107</xdr:rowOff>
    </xdr:to>
    <xdr:sp macro="" textlink="">
      <xdr:nvSpPr>
        <xdr:cNvPr id="29" name="TextBox 28">
          <a:extLst>
            <a:ext uri="{FF2B5EF4-FFF2-40B4-BE49-F238E27FC236}">
              <a16:creationId xmlns:a16="http://schemas.microsoft.com/office/drawing/2014/main" id="{79DB6AEA-A6BE-84C6-6B73-DF1027F8FDDD}"/>
            </a:ext>
          </a:extLst>
        </xdr:cNvPr>
        <xdr:cNvSpPr txBox="1"/>
      </xdr:nvSpPr>
      <xdr:spPr>
        <a:xfrm>
          <a:off x="5778138" y="1132113"/>
          <a:ext cx="1201783" cy="30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solidFill>
                <a:schemeClr val="tx1"/>
              </a:solidFill>
            </a:rPr>
            <a:t>Gender Wise Analysis </a:t>
          </a:r>
        </a:p>
      </xdr:txBody>
    </xdr:sp>
    <xdr:clientData/>
  </xdr:twoCellAnchor>
  <xdr:twoCellAnchor>
    <xdr:from>
      <xdr:col>6</xdr:col>
      <xdr:colOff>435425</xdr:colOff>
      <xdr:row>7</xdr:row>
      <xdr:rowOff>87087</xdr:rowOff>
    </xdr:from>
    <xdr:to>
      <xdr:col>11</xdr:col>
      <xdr:colOff>335280</xdr:colOff>
      <xdr:row>14</xdr:row>
      <xdr:rowOff>178527</xdr:rowOff>
    </xdr:to>
    <xdr:graphicFrame macro="">
      <xdr:nvGraphicFramePr>
        <xdr:cNvPr id="30" name="Chart 29">
          <a:extLst>
            <a:ext uri="{FF2B5EF4-FFF2-40B4-BE49-F238E27FC236}">
              <a16:creationId xmlns:a16="http://schemas.microsoft.com/office/drawing/2014/main" id="{936CB412-5CD6-41E7-9837-BC5F2D4C1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396241</xdr:colOff>
      <xdr:row>13</xdr:row>
      <xdr:rowOff>126273</xdr:rowOff>
    </xdr:from>
    <xdr:to>
      <xdr:col>10</xdr:col>
      <xdr:colOff>413657</xdr:colOff>
      <xdr:row>15</xdr:row>
      <xdr:rowOff>69667</xdr:rowOff>
    </xdr:to>
    <xdr:sp macro="" textlink="">
      <xdr:nvSpPr>
        <xdr:cNvPr id="31" name="TextBox 30">
          <a:extLst>
            <a:ext uri="{FF2B5EF4-FFF2-40B4-BE49-F238E27FC236}">
              <a16:creationId xmlns:a16="http://schemas.microsoft.com/office/drawing/2014/main" id="{A9FE425E-1C43-58C5-DE9C-38916508664A}"/>
            </a:ext>
          </a:extLst>
        </xdr:cNvPr>
        <xdr:cNvSpPr txBox="1"/>
      </xdr:nvSpPr>
      <xdr:spPr>
        <a:xfrm>
          <a:off x="4663441" y="2503713"/>
          <a:ext cx="1846216" cy="30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solidFill>
                <a:schemeClr val="tx1"/>
              </a:solidFill>
            </a:rPr>
            <a:t>No. of</a:t>
          </a:r>
          <a:r>
            <a:rPr lang="en-IN" sz="800" b="0" baseline="0">
              <a:solidFill>
                <a:schemeClr val="tx1"/>
              </a:solidFill>
            </a:rPr>
            <a:t> Patients by Department </a:t>
          </a:r>
          <a:endParaRPr lang="en-IN" sz="800" b="0">
            <a:solidFill>
              <a:schemeClr val="tx1"/>
            </a:solidFill>
          </a:endParaRPr>
        </a:p>
      </xdr:txBody>
    </xdr:sp>
    <xdr:clientData/>
  </xdr:twoCellAnchor>
  <xdr:twoCellAnchor editAs="oneCell">
    <xdr:from>
      <xdr:col>5</xdr:col>
      <xdr:colOff>174170</xdr:colOff>
      <xdr:row>0</xdr:row>
      <xdr:rowOff>56606</xdr:rowOff>
    </xdr:from>
    <xdr:to>
      <xdr:col>6</xdr:col>
      <xdr:colOff>435429</xdr:colOff>
      <xdr:row>3</xdr:row>
      <xdr:rowOff>11966</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76028D84-2726-4B14-943B-AF030ACE23D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22170" y="56606"/>
              <a:ext cx="870859" cy="508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274320</xdr:colOff>
      <xdr:row>1</xdr:row>
      <xdr:rowOff>91440</xdr:rowOff>
    </xdr:from>
    <xdr:to>
      <xdr:col>22</xdr:col>
      <xdr:colOff>541020</xdr:colOff>
      <xdr:row>26</xdr:row>
      <xdr:rowOff>0</xdr:rowOff>
    </xdr:to>
    <xdr:graphicFrame macro="">
      <xdr:nvGraphicFramePr>
        <xdr:cNvPr id="3" name="Chart 2">
          <a:extLst>
            <a:ext uri="{FF2B5EF4-FFF2-40B4-BE49-F238E27FC236}">
              <a16:creationId xmlns:a16="http://schemas.microsoft.com/office/drawing/2014/main" id="{A8D5DE37-64DA-438E-BB1E-EA236A88D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0.96379</cdr:x>
      <cdr:y>0.0085</cdr:y>
    </cdr:from>
    <cdr:to>
      <cdr:x>0.99554</cdr:x>
      <cdr:y>0.10884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8EC1ED6-B1FB-A004-A875-C72687DF6B6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182600" y="38101"/>
          <a:ext cx="434340" cy="4495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298174</xdr:colOff>
      <xdr:row>1</xdr:row>
      <xdr:rowOff>59635</xdr:rowOff>
    </xdr:from>
    <xdr:to>
      <xdr:col>19</xdr:col>
      <xdr:colOff>510209</xdr:colOff>
      <xdr:row>22</xdr:row>
      <xdr:rowOff>19878</xdr:rowOff>
    </xdr:to>
    <xdr:graphicFrame macro="">
      <xdr:nvGraphicFramePr>
        <xdr:cNvPr id="2" name="Chart 1">
          <a:extLst>
            <a:ext uri="{FF2B5EF4-FFF2-40B4-BE49-F238E27FC236}">
              <a16:creationId xmlns:a16="http://schemas.microsoft.com/office/drawing/2014/main" id="{CC1EACF4-ED6F-4FAA-B0B7-D9D870E3F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0.96442</cdr:x>
      <cdr:y>0.00458</cdr:y>
    </cdr:from>
    <cdr:to>
      <cdr:x>0.99719</cdr:x>
      <cdr:y>0.10833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6EA1F29-9562-E32F-DA53-EBDD1C61DD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374781" y="17670"/>
          <a:ext cx="386523" cy="40008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350520</xdr:colOff>
      <xdr:row>1</xdr:row>
      <xdr:rowOff>53340</xdr:rowOff>
    </xdr:from>
    <xdr:to>
      <xdr:col>22</xdr:col>
      <xdr:colOff>449580</xdr:colOff>
      <xdr:row>26</xdr:row>
      <xdr:rowOff>30480</xdr:rowOff>
    </xdr:to>
    <xdr:graphicFrame macro="">
      <xdr:nvGraphicFramePr>
        <xdr:cNvPr id="2" name="Chart 1">
          <a:extLst>
            <a:ext uri="{FF2B5EF4-FFF2-40B4-BE49-F238E27FC236}">
              <a16:creationId xmlns:a16="http://schemas.microsoft.com/office/drawing/2014/main" id="{06CA3171-5827-4819-AC35-C09B87C2D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0.96879</cdr:x>
      <cdr:y>0.00447</cdr:y>
    </cdr:from>
    <cdr:to>
      <cdr:x>0.9974</cdr:x>
      <cdr:y>0.09241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ED61D67-4FB7-B7AB-46CC-CE7DAA9843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088620" y="20320"/>
          <a:ext cx="386523" cy="40008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4120372" createdVersion="5" refreshedVersion="8" minRefreshableVersion="3" recordCount="0" supportSubquery="1" supportAdvancedDrill="1" xr:uid="{6480B613-C378-4C85-9AAD-5EE21B00CE59}">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4236111" createdVersion="5" refreshedVersion="8" minRefreshableVersion="3" recordCount="0" supportSubquery="1" supportAdvancedDrill="1" xr:uid="{72E622F3-FDEE-4B96-9150-28D957E02505}">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5277781" createdVersion="5" refreshedVersion="8" minRefreshableVersion="3" recordCount="0" supportSubquery="1" supportAdvancedDrill="1" xr:uid="{63141DED-1625-4800-AEB6-9584951B0D1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5740743" createdVersion="5" refreshedVersion="8" minRefreshableVersion="3" recordCount="0" supportSubquery="1" supportAdvancedDrill="1" xr:uid="{B08BCED7-AE42-4942-B12F-3FA8B3418DE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6319443" createdVersion="5" refreshedVersion="8" minRefreshableVersion="3" recordCount="0" supportSubquery="1" supportAdvancedDrill="1" xr:uid="{F032738E-D48A-4D0D-B5CC-8793C8A36FC8}">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7245367" createdVersion="5" refreshedVersion="8" minRefreshableVersion="3" recordCount="0" supportSubquery="1" supportAdvancedDrill="1" xr:uid="{CE6D1E7C-E7C3-4136-BC9A-7680D190B26F}">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7939814" createdVersion="5" refreshedVersion="8" minRefreshableVersion="3" recordCount="0" supportSubquery="1" supportAdvancedDrill="1" xr:uid="{1CAC6630-CEAF-4E6B-A7B0-FB2AC01EBBD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8865737" createdVersion="5" refreshedVersion="8" minRefreshableVersion="3" recordCount="0" supportSubquery="1" supportAdvancedDrill="1" xr:uid="{04F89825-C069-44E4-A0BC-11B7ABEBE7F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19791668" createdVersion="5" refreshedVersion="8" minRefreshableVersion="3" recordCount="0" supportSubquery="1" supportAdvancedDrill="1" xr:uid="{4776644D-079F-41BB-9802-4AF319BDDD36}">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20717592" createdVersion="5" refreshedVersion="8" minRefreshableVersion="3" recordCount="0" supportSubquery="1" supportAdvancedDrill="1" xr:uid="{476E06B8-C225-4A75-A254-5FA65DD5E5E9}">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21180554" createdVersion="5" refreshedVersion="8" minRefreshableVersion="3" recordCount="0" supportSubquery="1" supportAdvancedDrill="1" xr:uid="{A9CB9D94-4CAB-44FE-A2CF-F5E26052F86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532221759262" createdVersion="5" refreshedVersion="8" minRefreshableVersion="3" recordCount="0" supportSubquery="1" supportAdvancedDrill="1" xr:uid="{D66BB45D-782D-47AA-BADC-48049EA0C55F}">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AMALI PRADHAN" refreshedDate="46008.116273495369" createdVersion="3" refreshedVersion="8" minRefreshableVersion="3" recordCount="0" supportSubquery="1" supportAdvancedDrill="1" xr:uid="{7A522393-559F-41D7-A04F-550085D7610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471675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22944-02EB-4640-B8D8-76E35BC727E2}" name="PivotTable8" cacheId="18"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33">
  <location ref="Y3:Z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0">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3F879-687F-4363-8E72-123B2D67ED10}" name="PivotTable11" cacheId="11"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45">
  <location ref="AF3:AG1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1">
    <chartFormat chart="4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272CE-E55A-428E-A991-E3066DDF7361}" name="PivotTable3" cacheId="13" applyNumberFormats="0" applyBorderFormats="0" applyFontFormats="0" applyPatternFormats="0" applyAlignmentFormats="0" applyWidthHeightFormats="1" dataCaption="Values" tag="2c9b73a9-42ac-4700-858b-9ebf206c8434" updatedVersion="8" minRefreshableVersion="3" useAutoFormatting="1"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BB296-DA05-427B-BE9F-0C36024591D1}" name="PivotTable2" cacheId="12" applyNumberFormats="0" applyBorderFormats="0" applyFontFormats="0" applyPatternFormats="0" applyAlignmentFormats="0" applyWidthHeightFormats="1" dataCaption="Values" tag="a49fed93-5110-465c-9047-4a2121f12fa2" updatedVersion="8" minRefreshableVersion="3" useAutoFormatting="1" subtotalHiddenItems="1" itemPrintTitles="1" createdVersion="5" indent="0" outline="1" outlineData="1" multipleFieldFilters="0" chartFormat="47">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2">
    <chartFormat chart="29"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71236-D4EA-4B4A-A8A2-5D419E86881B}" name="PivotTable10" cacheId="10"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38">
  <location ref="AB3:AC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197441-513F-4255-9C4E-27BA78AC750C}" name="PivotTable6" cacheId="16" applyNumberFormats="0" applyBorderFormats="0" applyFontFormats="0" applyPatternFormats="0" applyAlignmentFormats="0" applyWidthHeightFormats="1" dataCaption="Values" tag="a49fed93-5110-465c-9047-4a2121f12fa2" updatedVersion="8" minRefreshableVersion="3" useAutoFormatting="1" subtotalHiddenItems="1" itemPrintTitles="1" createdVersion="5" indent="0" outline="1" outlineData="1" multipleFieldFilters="0" chartFormat="58">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077141-7118-4F4F-A93A-6293608DA295}" name="PivotTable7" cacheId="17"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27">
  <location ref="U3:V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6">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19D36C-15F9-417D-A3F7-A7B7FC673EF7}" name="PivotTable5" cacheId="15" applyNumberFormats="0" applyBorderFormats="0" applyFontFormats="0" applyPatternFormats="0" applyAlignmentFormats="0" applyWidthHeightFormats="1" dataCaption="Values" tag="a49fed93-5110-465c-9047-4a2121f12fa2" updatedVersion="8" minRefreshableVersion="3" useAutoFormatting="1" subtotalHiddenItems="1" itemPrintTitles="1" createdVersion="5" indent="0" outline="1" outlineData="1" multipleFieldFilters="0" chartFormat="33">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084B20-270D-436D-B792-725823DABDBF}" name="PivotTable9" cacheId="19"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9">
  <location ref="P3:R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9">
      <pivotArea outline="0" collapsedLevelsAreSubtotals="1" fieldPosition="0"/>
    </format>
    <format dxfId="8">
      <pivotArea outline="0" fieldPosition="0">
        <references count="1">
          <reference field="4294967294" count="1">
            <x v="1"/>
          </reference>
        </references>
      </pivotArea>
    </format>
    <format dxfId="7">
      <pivotArea outline="0" collapsedLevelsAreSubtotals="1" fieldPosition="0">
        <references count="1">
          <reference field="4294967294" count="1" selected="0">
            <x v="0"/>
          </reference>
        </references>
      </pivotArea>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2CFF1A-B16C-4007-8912-7221BA88AED1}" name="PivotTable1" cacheId="9" applyNumberFormats="0" applyBorderFormats="0" applyFontFormats="0" applyPatternFormats="0" applyAlignmentFormats="0" applyWidthHeightFormats="1" dataCaption="Values" tag="dfa018c0-eceb-4e1f-8df1-7914a583c82c" updatedVersion="8" minRefreshableVersion="3" useAutoFormatting="1" subtotalHiddenItems="1" itemPrintTitles="1" createdVersion="5"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F1A8FB-3813-4DF4-AF12-2C98013849F1}" name="PivotTable4" cacheId="14" applyNumberFormats="0" applyBorderFormats="0" applyFontFormats="0" applyPatternFormats="0" applyAlignmentFormats="0" applyWidthHeightFormats="1" dataCaption="Values" tag="92ed167a-ff67-440c-a2f6-6d5a0b1a943b" updatedVersion="8" minRefreshableVersion="3" useAutoFormatting="1"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9D0B8C-29D2-4C79-8040-33A69C234AAE}" name="PivotTable12" cacheId="8" applyNumberFormats="0" applyBorderFormats="0" applyFontFormats="0" applyPatternFormats="0" applyAlignmentFormats="0" applyWidthHeightFormats="1" dataCaption="Values" tag="92ed167a-ff67-440c-a2f6-6d5a0b1a943b" updatedVersion="8" minRefreshableVersion="3" subtotalHiddenItems="1" itemPrintTitles="1" createdVersion="5" indent="0" outline="1" outlineData="1" multipleFieldFilters="0" chartFormat="45">
  <location ref="AJ3:AJ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4F29B65-00F8-431D-9B8F-F34B585D98BF}" sourceName="[Calendar_Table].[Date (Month)]">
  <pivotTables>
    <pivotTable tabId="1" name="PivotTable5"/>
    <pivotTable tabId="1" name="PivotTable1"/>
    <pivotTable tabId="1" name="PivotTable3"/>
    <pivotTable tabId="1" name="PivotTable4"/>
    <pivotTable tabId="1" name="PivotTable2"/>
    <pivotTable tabId="1" name="PivotTable6"/>
    <pivotTable tabId="1" name="PivotTable9"/>
    <pivotTable tabId="1" name="PivotTable7"/>
    <pivotTable tabId="1" name="PivotTable8"/>
    <pivotTable tabId="1" name="PivotTable10"/>
    <pivotTable tabId="1" name="PivotTable11"/>
    <pivotTable tabId="1" name="PivotTable12"/>
  </pivotTables>
  <data>
    <olap pivotCacheId="124716755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EF59158-81EA-4EAB-B09E-A6F3EAE21B8E}"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4716755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84888BA-2A1B-4FE2-BD1A-D4651ED1CBDD}" cache="Slicer_Date__Month" caption="Date (Month)" showCaption="0" level="1" style="New style" rowHeight="129600"/>
  <slicer name="Date (Year)" xr10:uid="{64F99BC0-45F3-4E8B-B37A-7CC2975F9A66}" cache="Slicer_Date__Year" caption="Date (Year)" showCaption="0" level="1" style="New style" rowHeight="14400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193F-60E2-4281-8966-36E3B75AEA98}">
  <dimension ref="B3:AJ36"/>
  <sheetViews>
    <sheetView tabSelected="1" topLeftCell="L1" zoomScale="130" zoomScaleNormal="130" workbookViewId="0">
      <selection activeCell="AJ3" sqref="AJ3"/>
    </sheetView>
  </sheetViews>
  <sheetFormatPr defaultRowHeight="14.4" x14ac:dyDescent="0.3"/>
  <cols>
    <col min="2" max="2" width="32.5546875" bestFit="1" customWidth="1"/>
    <col min="3" max="3" width="29.21875" bestFit="1" customWidth="1"/>
    <col min="4" max="4" width="12.5546875" bestFit="1" customWidth="1"/>
    <col min="5" max="5" width="24" bestFit="1" customWidth="1"/>
    <col min="8" max="8" width="12.5546875" bestFit="1" customWidth="1"/>
    <col min="9" max="9" width="25.33203125" bestFit="1" customWidth="1"/>
    <col min="12" max="12" width="12.5546875" bestFit="1" customWidth="1"/>
    <col min="13" max="13" width="32.5546875" bestFit="1" customWidth="1"/>
    <col min="16" max="16" width="15.88671875" customWidth="1"/>
    <col min="17" max="17" width="11.109375" customWidth="1"/>
    <col min="18" max="18" width="12.77734375" customWidth="1"/>
    <col min="19" max="19" width="16.44140625" customWidth="1"/>
    <col min="22" max="22" width="17.88671875" bestFit="1" customWidth="1"/>
    <col min="25" max="25" width="12.5546875" bestFit="1" customWidth="1"/>
    <col min="26" max="26" width="27.109375" bestFit="1" customWidth="1"/>
    <col min="28" max="28" width="12.5546875" bestFit="1" customWidth="1"/>
    <col min="29" max="29" width="27.109375" bestFit="1" customWidth="1"/>
    <col min="32" max="32" width="15.5546875" bestFit="1" customWidth="1"/>
    <col min="33" max="33" width="26.77734375" bestFit="1" customWidth="1"/>
    <col min="36" max="36" width="15.5546875" bestFit="1" customWidth="1"/>
    <col min="37" max="37" width="26.77734375" bestFit="1" customWidth="1"/>
  </cols>
  <sheetData>
    <row r="3" spans="2:36" x14ac:dyDescent="0.3">
      <c r="H3" s="11" t="s">
        <v>6</v>
      </c>
      <c r="I3" s="11"/>
      <c r="L3" s="11" t="s">
        <v>37</v>
      </c>
      <c r="M3" s="11"/>
      <c r="P3" s="1" t="s">
        <v>4</v>
      </c>
      <c r="Q3" t="s">
        <v>40</v>
      </c>
      <c r="R3" t="s">
        <v>41</v>
      </c>
      <c r="U3" s="1" t="s">
        <v>4</v>
      </c>
      <c r="V3" t="s">
        <v>53</v>
      </c>
      <c r="Y3" s="1" t="s">
        <v>4</v>
      </c>
      <c r="Z3" t="s">
        <v>56</v>
      </c>
      <c r="AB3" s="1" t="s">
        <v>4</v>
      </c>
      <c r="AC3" t="s">
        <v>59</v>
      </c>
      <c r="AF3" s="1" t="s">
        <v>4</v>
      </c>
      <c r="AG3" t="s">
        <v>68</v>
      </c>
      <c r="AJ3" s="1" t="s">
        <v>4</v>
      </c>
    </row>
    <row r="4" spans="2:36" x14ac:dyDescent="0.3">
      <c r="B4" t="s">
        <v>1</v>
      </c>
      <c r="D4" s="11" t="s">
        <v>1</v>
      </c>
      <c r="E4" s="11"/>
      <c r="H4" s="1" t="s">
        <v>4</v>
      </c>
      <c r="I4" t="s">
        <v>2</v>
      </c>
      <c r="L4" s="1" t="s">
        <v>4</v>
      </c>
      <c r="M4" t="s">
        <v>3</v>
      </c>
      <c r="P4" s="4" t="s">
        <v>38</v>
      </c>
      <c r="Q4" s="7">
        <v>235</v>
      </c>
      <c r="R4" s="6">
        <v>0.4845360824742268</v>
      </c>
      <c r="U4" s="4" t="s">
        <v>45</v>
      </c>
      <c r="V4" s="7">
        <v>59</v>
      </c>
      <c r="Y4" s="4" t="s">
        <v>54</v>
      </c>
      <c r="Z4" s="7">
        <v>297</v>
      </c>
      <c r="AB4" s="4" t="s">
        <v>57</v>
      </c>
      <c r="AC4" s="7">
        <v>239</v>
      </c>
      <c r="AF4" s="4" t="s">
        <v>67</v>
      </c>
      <c r="AG4" s="7">
        <v>2</v>
      </c>
      <c r="AJ4" s="4" t="s">
        <v>69</v>
      </c>
    </row>
    <row r="5" spans="2:36" x14ac:dyDescent="0.3">
      <c r="B5" t="s">
        <v>0</v>
      </c>
      <c r="D5" s="1" t="s">
        <v>4</v>
      </c>
      <c r="E5" t="s">
        <v>0</v>
      </c>
      <c r="H5" s="4" t="s">
        <v>7</v>
      </c>
      <c r="I5" s="2">
        <v>33.352941176470587</v>
      </c>
      <c r="L5" s="4" t="s">
        <v>7</v>
      </c>
      <c r="M5" s="2">
        <v>4.75</v>
      </c>
      <c r="P5" s="4" t="s">
        <v>39</v>
      </c>
      <c r="Q5" s="7">
        <v>250</v>
      </c>
      <c r="R5" s="6">
        <v>0.51546391752577314</v>
      </c>
      <c r="U5" s="4" t="s">
        <v>46</v>
      </c>
      <c r="V5" s="7">
        <v>55</v>
      </c>
      <c r="Y5" s="4" t="s">
        <v>55</v>
      </c>
      <c r="Z5" s="7">
        <v>188</v>
      </c>
      <c r="AB5" s="4" t="s">
        <v>58</v>
      </c>
      <c r="AC5" s="7">
        <v>246</v>
      </c>
      <c r="AF5" s="4" t="s">
        <v>66</v>
      </c>
      <c r="AG5" s="7">
        <v>11</v>
      </c>
      <c r="AJ5" s="4" t="s">
        <v>5</v>
      </c>
    </row>
    <row r="6" spans="2:36" x14ac:dyDescent="0.3">
      <c r="B6">
        <v>485</v>
      </c>
      <c r="D6" s="4" t="s">
        <v>7</v>
      </c>
      <c r="E6">
        <v>17</v>
      </c>
      <c r="H6" s="4" t="s">
        <v>8</v>
      </c>
      <c r="I6" s="2">
        <v>38.4</v>
      </c>
      <c r="L6" s="4" t="s">
        <v>8</v>
      </c>
      <c r="M6" s="2">
        <v>5.2</v>
      </c>
      <c r="P6" s="4" t="s">
        <v>5</v>
      </c>
      <c r="Q6" s="7">
        <v>485</v>
      </c>
      <c r="R6" s="6">
        <v>1</v>
      </c>
      <c r="U6" s="4" t="s">
        <v>47</v>
      </c>
      <c r="V6" s="7">
        <v>69</v>
      </c>
      <c r="Y6" s="4" t="s">
        <v>5</v>
      </c>
      <c r="Z6" s="7">
        <v>485</v>
      </c>
      <c r="AB6" s="4" t="s">
        <v>5</v>
      </c>
      <c r="AC6" s="7">
        <v>485</v>
      </c>
      <c r="AF6" s="4" t="s">
        <v>63</v>
      </c>
      <c r="AG6" s="7">
        <v>12</v>
      </c>
    </row>
    <row r="7" spans="2:36" x14ac:dyDescent="0.3">
      <c r="D7" s="4" t="s">
        <v>8</v>
      </c>
      <c r="E7">
        <v>10</v>
      </c>
      <c r="H7" s="4" t="s">
        <v>9</v>
      </c>
      <c r="I7" s="2">
        <v>38.521739130434781</v>
      </c>
      <c r="L7" s="4" t="s">
        <v>9</v>
      </c>
      <c r="M7" s="2">
        <v>3.375</v>
      </c>
      <c r="U7" s="4" t="s">
        <v>48</v>
      </c>
      <c r="V7" s="7">
        <v>64</v>
      </c>
      <c r="AF7" s="4" t="s">
        <v>61</v>
      </c>
      <c r="AG7" s="7">
        <v>12</v>
      </c>
    </row>
    <row r="8" spans="2:36" x14ac:dyDescent="0.3">
      <c r="D8" s="4" t="s">
        <v>9</v>
      </c>
      <c r="E8">
        <v>23</v>
      </c>
      <c r="H8" s="4" t="s">
        <v>10</v>
      </c>
      <c r="I8" s="2">
        <v>30.4</v>
      </c>
      <c r="L8" s="4" t="s">
        <v>10</v>
      </c>
      <c r="M8" s="2">
        <v>5.8</v>
      </c>
      <c r="P8" s="8" t="s">
        <v>42</v>
      </c>
      <c r="Q8" s="8" t="s">
        <v>44</v>
      </c>
      <c r="R8" s="8" t="s">
        <v>43</v>
      </c>
      <c r="S8" s="8"/>
      <c r="U8" s="4" t="s">
        <v>49</v>
      </c>
      <c r="V8" s="7">
        <v>56</v>
      </c>
      <c r="AF8" s="4" t="s">
        <v>60</v>
      </c>
      <c r="AG8" s="7">
        <v>13</v>
      </c>
    </row>
    <row r="9" spans="2:36" x14ac:dyDescent="0.3">
      <c r="B9" t="s">
        <v>2</v>
      </c>
      <c r="D9" s="4" t="s">
        <v>10</v>
      </c>
      <c r="E9">
        <v>15</v>
      </c>
      <c r="H9" s="4" t="s">
        <v>11</v>
      </c>
      <c r="I9" s="2">
        <v>33.142857142857146</v>
      </c>
      <c r="L9" s="4" t="s">
        <v>11</v>
      </c>
      <c r="M9" s="2">
        <v>4.375</v>
      </c>
      <c r="P9" s="9" t="str">
        <f>P5</f>
        <v>Not Admitted</v>
      </c>
      <c r="Q9" s="9">
        <f>Q5</f>
        <v>250</v>
      </c>
      <c r="R9" s="10">
        <f>R5</f>
        <v>0.51546391752577314</v>
      </c>
      <c r="S9" s="9"/>
      <c r="U9" s="4" t="s">
        <v>50</v>
      </c>
      <c r="V9" s="7">
        <v>60</v>
      </c>
      <c r="AF9" s="4" t="s">
        <v>65</v>
      </c>
      <c r="AG9" s="7">
        <v>53</v>
      </c>
    </row>
    <row r="10" spans="2:36" x14ac:dyDescent="0.3">
      <c r="B10" s="2">
        <v>35.507216494845359</v>
      </c>
      <c r="D10" s="4" t="s">
        <v>11</v>
      </c>
      <c r="E10">
        <v>14</v>
      </c>
      <c r="H10" s="4" t="s">
        <v>12</v>
      </c>
      <c r="I10" s="2">
        <v>38.18181818181818</v>
      </c>
      <c r="L10" s="4" t="s">
        <v>12</v>
      </c>
      <c r="M10" s="2">
        <v>3</v>
      </c>
      <c r="P10" s="9" t="str">
        <f>P4</f>
        <v>Admitted</v>
      </c>
      <c r="Q10" s="9">
        <f>Q4</f>
        <v>235</v>
      </c>
      <c r="R10" s="10">
        <f>R4</f>
        <v>0.4845360824742268</v>
      </c>
      <c r="S10" s="9"/>
      <c r="U10" s="4" t="s">
        <v>51</v>
      </c>
      <c r="V10" s="7">
        <v>51</v>
      </c>
      <c r="AF10" s="4" t="s">
        <v>62</v>
      </c>
      <c r="AG10" s="7">
        <v>91</v>
      </c>
    </row>
    <row r="11" spans="2:36" x14ac:dyDescent="0.3">
      <c r="D11" s="4" t="s">
        <v>12</v>
      </c>
      <c r="E11">
        <v>11</v>
      </c>
      <c r="H11" s="4" t="s">
        <v>13</v>
      </c>
      <c r="I11" s="2">
        <v>39.733333333333334</v>
      </c>
      <c r="L11" s="4" t="s">
        <v>13</v>
      </c>
      <c r="M11" s="2">
        <v>5</v>
      </c>
      <c r="U11" s="4" t="s">
        <v>52</v>
      </c>
      <c r="V11" s="7">
        <v>71</v>
      </c>
      <c r="AF11" s="4" t="s">
        <v>64</v>
      </c>
      <c r="AG11" s="7">
        <v>291</v>
      </c>
    </row>
    <row r="12" spans="2:36" x14ac:dyDescent="0.3">
      <c r="D12" s="4" t="s">
        <v>13</v>
      </c>
      <c r="E12">
        <v>15</v>
      </c>
      <c r="H12" s="4" t="s">
        <v>14</v>
      </c>
      <c r="I12" s="2">
        <v>37</v>
      </c>
      <c r="L12" s="4" t="s">
        <v>14</v>
      </c>
      <c r="M12" s="2">
        <v>3</v>
      </c>
      <c r="U12" s="4" t="s">
        <v>5</v>
      </c>
      <c r="V12" s="7">
        <v>485</v>
      </c>
      <c r="AF12" s="4" t="s">
        <v>5</v>
      </c>
      <c r="AG12" s="7">
        <v>485</v>
      </c>
    </row>
    <row r="13" spans="2:36" x14ac:dyDescent="0.3">
      <c r="B13" t="s">
        <v>3</v>
      </c>
      <c r="D13" s="4" t="s">
        <v>14</v>
      </c>
      <c r="E13">
        <v>20</v>
      </c>
      <c r="H13" s="4" t="s">
        <v>15</v>
      </c>
      <c r="I13" s="2">
        <v>35.61904761904762</v>
      </c>
      <c r="L13" s="4" t="s">
        <v>15</v>
      </c>
      <c r="M13" s="2">
        <v>4.9090909090909092</v>
      </c>
    </row>
    <row r="14" spans="2:36" x14ac:dyDescent="0.3">
      <c r="B14" s="2">
        <v>4.7092198581560281</v>
      </c>
      <c r="D14" s="4" t="s">
        <v>15</v>
      </c>
      <c r="E14">
        <v>21</v>
      </c>
      <c r="H14" s="4" t="s">
        <v>16</v>
      </c>
      <c r="I14" s="2">
        <v>34.176470588235297</v>
      </c>
      <c r="L14" s="4" t="s">
        <v>16</v>
      </c>
      <c r="M14" s="2">
        <v>3.8333333333333335</v>
      </c>
    </row>
    <row r="15" spans="2:36" x14ac:dyDescent="0.3">
      <c r="D15" s="4" t="s">
        <v>16</v>
      </c>
      <c r="E15">
        <v>17</v>
      </c>
      <c r="H15" s="4" t="s">
        <v>17</v>
      </c>
      <c r="I15" s="2">
        <v>37.176470588235297</v>
      </c>
      <c r="L15" s="4" t="s">
        <v>17</v>
      </c>
      <c r="M15" s="2">
        <v>3.875</v>
      </c>
    </row>
    <row r="16" spans="2:36" x14ac:dyDescent="0.3">
      <c r="D16" s="4" t="s">
        <v>17</v>
      </c>
      <c r="E16">
        <v>17</v>
      </c>
      <c r="H16" s="4" t="s">
        <v>18</v>
      </c>
      <c r="I16" s="2">
        <v>36.647058823529413</v>
      </c>
      <c r="L16" s="4" t="s">
        <v>18</v>
      </c>
      <c r="M16" s="2">
        <v>4.333333333333333</v>
      </c>
    </row>
    <row r="17" spans="4:13" x14ac:dyDescent="0.3">
      <c r="D17" s="4" t="s">
        <v>18</v>
      </c>
      <c r="E17">
        <v>17</v>
      </c>
      <c r="H17" s="4" t="s">
        <v>19</v>
      </c>
      <c r="I17" s="2">
        <v>34.941176470588232</v>
      </c>
      <c r="L17" s="4" t="s">
        <v>19</v>
      </c>
      <c r="M17" s="2">
        <v>3.5</v>
      </c>
    </row>
    <row r="18" spans="4:13" x14ac:dyDescent="0.3">
      <c r="D18" s="4" t="s">
        <v>19</v>
      </c>
      <c r="E18">
        <v>17</v>
      </c>
      <c r="H18" s="4" t="s">
        <v>20</v>
      </c>
      <c r="I18" s="2">
        <v>44</v>
      </c>
      <c r="L18" s="4" t="s">
        <v>20</v>
      </c>
      <c r="M18" s="2">
        <v>5.4</v>
      </c>
    </row>
    <row r="19" spans="4:13" x14ac:dyDescent="0.3">
      <c r="D19" s="4" t="s">
        <v>20</v>
      </c>
      <c r="E19">
        <v>11</v>
      </c>
      <c r="H19" s="4" t="s">
        <v>21</v>
      </c>
      <c r="I19" s="2">
        <v>38.913043478260867</v>
      </c>
      <c r="L19" s="4" t="s">
        <v>21</v>
      </c>
      <c r="M19" s="2">
        <v>5.375</v>
      </c>
    </row>
    <row r="20" spans="4:13" x14ac:dyDescent="0.3">
      <c r="D20" s="4" t="s">
        <v>21</v>
      </c>
      <c r="E20">
        <v>23</v>
      </c>
      <c r="H20" s="4" t="s">
        <v>22</v>
      </c>
      <c r="I20" s="2">
        <v>31</v>
      </c>
      <c r="L20" s="4" t="s">
        <v>22</v>
      </c>
      <c r="M20" s="2">
        <v>3.3333333333333335</v>
      </c>
    </row>
    <row r="21" spans="4:13" x14ac:dyDescent="0.3">
      <c r="D21" s="4" t="s">
        <v>22</v>
      </c>
      <c r="E21">
        <v>14</v>
      </c>
      <c r="H21" s="4" t="s">
        <v>23</v>
      </c>
      <c r="I21" s="2">
        <v>34.227272727272727</v>
      </c>
      <c r="L21" s="4" t="s">
        <v>23</v>
      </c>
      <c r="M21" s="2">
        <v>6.2</v>
      </c>
    </row>
    <row r="22" spans="4:13" x14ac:dyDescent="0.3">
      <c r="D22" s="4" t="s">
        <v>23</v>
      </c>
      <c r="E22">
        <v>22</v>
      </c>
      <c r="H22" s="4" t="s">
        <v>24</v>
      </c>
      <c r="I22" s="2">
        <v>31</v>
      </c>
      <c r="L22" s="4" t="s">
        <v>24</v>
      </c>
      <c r="M22" s="2">
        <v>1.6666666666666667</v>
      </c>
    </row>
    <row r="23" spans="4:13" x14ac:dyDescent="0.3">
      <c r="D23" s="4" t="s">
        <v>24</v>
      </c>
      <c r="E23">
        <v>16</v>
      </c>
      <c r="H23" s="4" t="s">
        <v>25</v>
      </c>
      <c r="I23" s="2">
        <v>32.153846153846153</v>
      </c>
      <c r="L23" s="4" t="s">
        <v>25</v>
      </c>
      <c r="M23" s="2">
        <v>4.5</v>
      </c>
    </row>
    <row r="24" spans="4:13" x14ac:dyDescent="0.3">
      <c r="D24" s="4" t="s">
        <v>25</v>
      </c>
      <c r="E24">
        <v>13</v>
      </c>
      <c r="H24" s="4" t="s">
        <v>26</v>
      </c>
      <c r="I24" s="2">
        <v>32.785714285714285</v>
      </c>
      <c r="L24" s="4" t="s">
        <v>26</v>
      </c>
      <c r="M24" s="2">
        <v>7.666666666666667</v>
      </c>
    </row>
    <row r="25" spans="4:13" x14ac:dyDescent="0.3">
      <c r="D25" s="4" t="s">
        <v>26</v>
      </c>
      <c r="E25">
        <v>14</v>
      </c>
      <c r="H25" s="4" t="s">
        <v>27</v>
      </c>
      <c r="I25" s="2">
        <v>30</v>
      </c>
      <c r="L25" s="4" t="s">
        <v>27</v>
      </c>
      <c r="M25" s="2">
        <v>4.4000000000000004</v>
      </c>
    </row>
    <row r="26" spans="4:13" x14ac:dyDescent="0.3">
      <c r="D26" s="4" t="s">
        <v>27</v>
      </c>
      <c r="E26">
        <v>12</v>
      </c>
      <c r="H26" s="4" t="s">
        <v>28</v>
      </c>
      <c r="I26" s="2">
        <v>33.5</v>
      </c>
      <c r="L26" s="4" t="s">
        <v>28</v>
      </c>
      <c r="M26" s="2">
        <v>6.5</v>
      </c>
    </row>
    <row r="27" spans="4:13" x14ac:dyDescent="0.3">
      <c r="D27" s="4" t="s">
        <v>28</v>
      </c>
      <c r="E27">
        <v>12</v>
      </c>
      <c r="H27" s="4" t="s">
        <v>29</v>
      </c>
      <c r="I27" s="2">
        <v>32.950000000000003</v>
      </c>
      <c r="L27" s="4" t="s">
        <v>29</v>
      </c>
      <c r="M27" s="2">
        <v>5</v>
      </c>
    </row>
    <row r="28" spans="4:13" x14ac:dyDescent="0.3">
      <c r="D28" s="4" t="s">
        <v>29</v>
      </c>
      <c r="E28">
        <v>20</v>
      </c>
      <c r="H28" s="4" t="s">
        <v>30</v>
      </c>
      <c r="I28" s="2">
        <v>35.842105263157897</v>
      </c>
      <c r="L28" s="4" t="s">
        <v>30</v>
      </c>
      <c r="M28" s="2">
        <v>5.25</v>
      </c>
    </row>
    <row r="29" spans="4:13" x14ac:dyDescent="0.3">
      <c r="D29" s="4" t="s">
        <v>30</v>
      </c>
      <c r="E29">
        <v>19</v>
      </c>
      <c r="H29" s="4" t="s">
        <v>31</v>
      </c>
      <c r="I29" s="2">
        <v>33.846153846153847</v>
      </c>
      <c r="L29" s="4" t="s">
        <v>31</v>
      </c>
      <c r="M29" s="2">
        <v>4.75</v>
      </c>
    </row>
    <row r="30" spans="4:13" x14ac:dyDescent="0.3">
      <c r="D30" s="4" t="s">
        <v>31</v>
      </c>
      <c r="E30">
        <v>13</v>
      </c>
      <c r="H30" s="4" t="s">
        <v>32</v>
      </c>
      <c r="I30" s="2">
        <v>39.06666666666667</v>
      </c>
      <c r="L30" s="4" t="s">
        <v>32</v>
      </c>
      <c r="M30" s="2">
        <v>5</v>
      </c>
    </row>
    <row r="31" spans="4:13" x14ac:dyDescent="0.3">
      <c r="D31" s="4" t="s">
        <v>32</v>
      </c>
      <c r="E31">
        <v>15</v>
      </c>
      <c r="H31" s="4" t="s">
        <v>33</v>
      </c>
      <c r="I31" s="2">
        <v>36.684210526315788</v>
      </c>
      <c r="L31" s="4" t="s">
        <v>33</v>
      </c>
      <c r="M31" s="2">
        <v>4</v>
      </c>
    </row>
    <row r="32" spans="4:13" x14ac:dyDescent="0.3">
      <c r="D32" s="4" t="s">
        <v>33</v>
      </c>
      <c r="E32">
        <v>19</v>
      </c>
      <c r="H32" s="4" t="s">
        <v>34</v>
      </c>
      <c r="I32" s="2">
        <v>33.764705882352942</v>
      </c>
      <c r="L32" s="4" t="s">
        <v>34</v>
      </c>
      <c r="M32" s="2">
        <v>5.333333333333333</v>
      </c>
    </row>
    <row r="33" spans="4:13" x14ac:dyDescent="0.3">
      <c r="D33" s="4" t="s">
        <v>34</v>
      </c>
      <c r="E33">
        <v>17</v>
      </c>
      <c r="H33" s="4" t="s">
        <v>35</v>
      </c>
      <c r="I33" s="2">
        <v>34.533333333333331</v>
      </c>
      <c r="L33" s="4" t="s">
        <v>35</v>
      </c>
      <c r="M33" s="2">
        <v>6</v>
      </c>
    </row>
    <row r="34" spans="4:13" x14ac:dyDescent="0.3">
      <c r="D34" s="4" t="s">
        <v>35</v>
      </c>
      <c r="E34">
        <v>15</v>
      </c>
      <c r="H34" s="4" t="s">
        <v>36</v>
      </c>
      <c r="I34" s="2">
        <v>42.125</v>
      </c>
      <c r="L34" s="4" t="s">
        <v>36</v>
      </c>
      <c r="M34" s="2">
        <v>6.333333333333333</v>
      </c>
    </row>
    <row r="35" spans="4:13" x14ac:dyDescent="0.3">
      <c r="D35" s="4" t="s">
        <v>36</v>
      </c>
      <c r="E35">
        <v>16</v>
      </c>
      <c r="H35" s="4" t="s">
        <v>5</v>
      </c>
      <c r="I35" s="2">
        <v>35.507216494845359</v>
      </c>
      <c r="L35" s="4" t="s">
        <v>5</v>
      </c>
      <c r="M35" s="2">
        <v>4.7092198581560281</v>
      </c>
    </row>
    <row r="36" spans="4:13" x14ac:dyDescent="0.3">
      <c r="D36" s="4" t="s">
        <v>5</v>
      </c>
      <c r="E36">
        <v>485</v>
      </c>
    </row>
  </sheetData>
  <sheetProtection algorithmName="SHA-512" hashValue="4nSeY+jciMKVVbKjIvNw/2ZqRHx2uZ4xrbp8GaGIvbi1VsIeIRrAAZmU7jTfEtmrPQF0WX/BiI087YXu4pqbQg==" saltValue="YAVmsDj1hKy2jmi1/p1fvg==" spinCount="100000" sheet="1" objects="1" scenarios="1"/>
  <mergeCells count="3">
    <mergeCell ref="D4:E4"/>
    <mergeCell ref="H3:I3"/>
    <mergeCell ref="L3:M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86F9-E131-41E0-A26C-4954732B5358}">
  <dimension ref="A1"/>
  <sheetViews>
    <sheetView zoomScale="175" zoomScaleNormal="190" workbookViewId="0"/>
  </sheetViews>
  <sheetFormatPr defaultRowHeight="14.4" x14ac:dyDescent="0.3"/>
  <cols>
    <col min="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0CBB-A2A0-4868-9ACC-A2F43A8489E4}">
  <dimension ref="A1"/>
  <sheetViews>
    <sheetView zoomScaleNormal="100" workbookViewId="0"/>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6970-7EEB-4927-9BF8-885FF77F85DB}">
  <dimension ref="A1"/>
  <sheetViews>
    <sheetView zoomScale="115" zoomScaleNormal="115" workbookViewId="0">
      <selection activeCell="T10" sqref="T10"/>
    </sheetView>
  </sheetViews>
  <sheetFormatPr defaultRowHeight="14.4" x14ac:dyDescent="0.3"/>
  <cols>
    <col min="1" max="16384" width="8.8867187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499B-8853-415D-87F8-6BBCFB536534}">
  <dimension ref="A1"/>
  <sheetViews>
    <sheetView workbookViewId="0"/>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894BD75-92D2-4D97-82E8-8FB984761DEB}">
  <ds:schemaRefs/>
</ds:datastoreItem>
</file>

<file path=customXml/itemProps2.xml><?xml version="1.0" encoding="utf-8"?>
<ds:datastoreItem xmlns:ds="http://schemas.openxmlformats.org/officeDocument/2006/customXml" ds:itemID="{265EFC67-2F94-4D3A-B2FC-2F50A86DF262}">
  <ds:schemaRefs/>
</ds:datastoreItem>
</file>

<file path=customXml/itemProps3.xml><?xml version="1.0" encoding="utf-8"?>
<ds:datastoreItem xmlns:ds="http://schemas.openxmlformats.org/officeDocument/2006/customXml" ds:itemID="{B982448E-FB1E-4FB4-A87A-C44089A3A097}">
  <ds:schemaRefs/>
</ds:datastoreItem>
</file>

<file path=customXml/itemProps4.xml><?xml version="1.0" encoding="utf-8"?>
<ds:datastoreItem xmlns:ds="http://schemas.openxmlformats.org/officeDocument/2006/customXml" ds:itemID="{38B62BE2-3899-4A61-B041-DF19E332A660}">
  <ds:schemaRefs/>
</ds:datastoreItem>
</file>

<file path=customXml/itemProps5.xml><?xml version="1.0" encoding="utf-8"?>
<ds:datastoreItem xmlns:ds="http://schemas.openxmlformats.org/officeDocument/2006/customXml" ds:itemID="{84352D26-E5C4-4A4D-BD4D-F2F60D631A85}">
  <ds:schemaRefs>
    <ds:schemaRef ds:uri="http://schemas.microsoft.com/DataMashup"/>
  </ds:schemaRefs>
</ds:datastoreItem>
</file>

<file path=customXml/itemProps6.xml><?xml version="1.0" encoding="utf-8"?>
<ds:datastoreItem xmlns:ds="http://schemas.openxmlformats.org/officeDocument/2006/customXml" ds:itemID="{3EEDC526-3505-4188-A9B4-C7793FEB22FC}">
  <ds:schemaRefs/>
</ds:datastoreItem>
</file>

<file path=customXml/itemProps7.xml><?xml version="1.0" encoding="utf-8"?>
<ds:datastoreItem xmlns:ds="http://schemas.openxmlformats.org/officeDocument/2006/customXml" ds:itemID="{5D3DAF06-9169-4B81-8180-CC2A88EF592A}">
  <ds:schemaRefs/>
</ds:datastoreItem>
</file>

<file path=customXml/itemProps8.xml><?xml version="1.0" encoding="utf-8"?>
<ds:datastoreItem xmlns:ds="http://schemas.openxmlformats.org/officeDocument/2006/customXml" ds:itemID="{FC6681C3-68C8-42B3-8A10-D15EF5A653D0}">
  <ds:schemaRefs/>
</ds:datastoreItem>
</file>

<file path=customXml/itemProps9.xml><?xml version="1.0" encoding="utf-8"?>
<ds:datastoreItem xmlns:ds="http://schemas.openxmlformats.org/officeDocument/2006/customXml" ds:itemID="{4B9DD666-19E6-484D-ADEF-1F6D42BD569B}">
  <ds:schemaRefs/>
</ds:datastoreItem>
</file>

<file path=customXml/itemProps10.xml><?xml version="1.0" encoding="utf-8"?>
<ds:datastoreItem xmlns:ds="http://schemas.openxmlformats.org/officeDocument/2006/customXml" ds:itemID="{326A304F-14B0-4AE4-9A8F-E2E6718280FC}">
  <ds:schemaRefs/>
</ds:datastoreItem>
</file>

<file path=customXml/itemProps11.xml><?xml version="1.0" encoding="utf-8"?>
<ds:datastoreItem xmlns:ds="http://schemas.openxmlformats.org/officeDocument/2006/customXml" ds:itemID="{FD51B1A3-BF32-4BF2-9242-55B033D887CE}">
  <ds:schemaRefs/>
</ds:datastoreItem>
</file>

<file path=customXml/itemProps12.xml><?xml version="1.0" encoding="utf-8"?>
<ds:datastoreItem xmlns:ds="http://schemas.openxmlformats.org/officeDocument/2006/customXml" ds:itemID="{1A719D7B-6588-44F3-BC36-E67F2B993890}">
  <ds:schemaRefs/>
</ds:datastoreItem>
</file>

<file path=customXml/itemProps13.xml><?xml version="1.0" encoding="utf-8"?>
<ds:datastoreItem xmlns:ds="http://schemas.openxmlformats.org/officeDocument/2006/customXml" ds:itemID="{F60AED76-669B-4CAC-9775-B9DD5416A4B5}">
  <ds:schemaRefs/>
</ds:datastoreItem>
</file>

<file path=customXml/itemProps14.xml><?xml version="1.0" encoding="utf-8"?>
<ds:datastoreItem xmlns:ds="http://schemas.openxmlformats.org/officeDocument/2006/customXml" ds:itemID="{528F4A22-D568-454F-AC99-E8085833A5BA}">
  <ds:schemaRefs/>
</ds:datastoreItem>
</file>

<file path=customXml/itemProps15.xml><?xml version="1.0" encoding="utf-8"?>
<ds:datastoreItem xmlns:ds="http://schemas.openxmlformats.org/officeDocument/2006/customXml" ds:itemID="{8C82576B-5246-4621-ADAF-3799DC40BA40}">
  <ds:schemaRefs/>
</ds:datastoreItem>
</file>

<file path=customXml/itemProps16.xml><?xml version="1.0" encoding="utf-8"?>
<ds:datastoreItem xmlns:ds="http://schemas.openxmlformats.org/officeDocument/2006/customXml" ds:itemID="{70D1A9EF-E812-41BF-8383-57B726938AC4}">
  <ds:schemaRefs/>
</ds:datastoreItem>
</file>

<file path=customXml/itemProps17.xml><?xml version="1.0" encoding="utf-8"?>
<ds:datastoreItem xmlns:ds="http://schemas.openxmlformats.org/officeDocument/2006/customXml" ds:itemID="{B067BBBA-304F-4ED9-8271-4D70B841B69E}">
  <ds:schemaRefs/>
</ds:datastoreItem>
</file>

<file path=customXml/itemProps18.xml><?xml version="1.0" encoding="utf-8"?>
<ds:datastoreItem xmlns:ds="http://schemas.openxmlformats.org/officeDocument/2006/customXml" ds:itemID="{EC93C8C3-4F37-4E63-9946-6928EF7F19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Patients</vt:lpstr>
      <vt:lpstr>Daily Avg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Rocks Lulu</dc:creator>
  <cp:lastModifiedBy>Rocks Lulu</cp:lastModifiedBy>
  <dcterms:created xsi:type="dcterms:W3CDTF">2025-12-15T12:28:01Z</dcterms:created>
  <dcterms:modified xsi:type="dcterms:W3CDTF">2025-12-17T08:31:37Z</dcterms:modified>
</cp:coreProperties>
</file>